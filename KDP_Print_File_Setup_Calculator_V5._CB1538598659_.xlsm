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gnun\Desktop\KDP\"/>
    </mc:Choice>
  </mc:AlternateContent>
  <workbookProtection workbookAlgorithmName="SHA-512" workbookHashValue="eFRGeyppTXkElWlifsqLs2NHlibWOAPBAZMFM0QcDPEYFONbgf7fbQdhrbKd9y0YwWRLw+481pGm17BOWfOiFQ==" workbookSaltValue="lQWNYUo76CzVlgAU/Z1ItA==" workbookSpinCount="100000" lockStructure="1"/>
  <bookViews>
    <workbookView showSheetTabs="0" xWindow="21390" yWindow="0" windowWidth="6765" windowHeight="7800"/>
  </bookViews>
  <sheets>
    <sheet name="Main" sheetId="1" r:id="rId1"/>
    <sheet name="Interior-Bleed" sheetId="3" r:id="rId2"/>
    <sheet name="Interior-NoBleed" sheetId="4" r:id="rId3"/>
    <sheet name="Cover-LTR" sheetId="6" r:id="rId4"/>
    <sheet name="Cover-RTL" sheetId="5" state="hidden" r:id="rId5"/>
    <sheet name="Lists" sheetId="2" r:id="rId6"/>
    <sheet name="Change_Log" sheetId="7" r:id="rId7"/>
  </sheets>
  <definedNames>
    <definedName name="blcmh">Lists!$O$6</definedName>
    <definedName name="blcmw">Lists!$N$6</definedName>
    <definedName name="CBleedBcm">Lists!$J$11</definedName>
    <definedName name="CBleedBIn">Lists!$H$11</definedName>
    <definedName name="CBleedBmm">Lists!$I$11</definedName>
    <definedName name="CBleedLcm">Lists!$J$8</definedName>
    <definedName name="CBleedLin">Lists!$H$8</definedName>
    <definedName name="CBleedLmm">Lists!$I$8</definedName>
    <definedName name="CBleedRcm">Lists!$J$9</definedName>
    <definedName name="CBleedRIn">Lists!$H$9</definedName>
    <definedName name="CBleedRmm">Lists!$I$9</definedName>
    <definedName name="CBleedTcm">Lists!$J$10</definedName>
    <definedName name="CBleedTIn">Lists!$H$10</definedName>
    <definedName name="CBleedTmm">Lists!$I$10</definedName>
    <definedName name="cm">Lists!$N$2</definedName>
    <definedName name="cMarginSLcm">Lists!$J$15</definedName>
    <definedName name="cMarginSLIn">Lists!$H$15</definedName>
    <definedName name="cMarginSLmm">Lists!$I$15</definedName>
    <definedName name="cMarginSRcm">Lists!$J$16</definedName>
    <definedName name="cMarginSRIn">Lists!$H$16</definedName>
    <definedName name="cMarginSRmm">Lists!$I$16</definedName>
    <definedName name="CoverHeight">Main!$R$26</definedName>
    <definedName name="CoverLTR">'Cover-LTR'!$A$1</definedName>
    <definedName name="CoverSafeZoneCM">Main!$T$29</definedName>
    <definedName name="CoverSafeZoneH">Main!$R$29</definedName>
    <definedName name="CoverSafeZoneIn">Main!$S$29</definedName>
    <definedName name="CoverSafeZoneW">Main!$Q$29</definedName>
    <definedName name="CoverSizeCm">Main!$T$26</definedName>
    <definedName name="CoverSizeIn">Main!$S$26</definedName>
    <definedName name="CoverStatement">Main!$X$3</definedName>
    <definedName name="CoverWidth">Main!$Q$26</definedName>
    <definedName name="GutterCMmath">Main!$V$7</definedName>
    <definedName name="GutterFull">Main!$T$3</definedName>
    <definedName name="GutterIN">Main!$U$6</definedName>
    <definedName name="GutterINmath">Main!$U$7</definedName>
    <definedName name="GutterMM">Main!$V$6</definedName>
    <definedName name="InkPaperChoice">Main!$I$13</definedName>
    <definedName name="InkPaperMax">LU_TrimSizes[[#Headers],[Black Ink &amp; Cream Paper]:[Color Ink &amp; White Paper]]</definedName>
    <definedName name="InteriorBleed">'Interior-Bleed'!$A$1</definedName>
    <definedName name="InteriorBleedStatement">Main!$U$3</definedName>
    <definedName name="InteriorNoBleed">'Interior-NoBleed'!$A$1</definedName>
    <definedName name="InteriorNoBleedStatement">Main!$V$3</definedName>
    <definedName name="List_InkPaper">LU_InkPaper[Official Ink &amp; Color Text]</definedName>
    <definedName name="List_TrimSize">LU_TrimSizes[List_TrimSize]</definedName>
    <definedName name="MainMenu">Main!$A$1</definedName>
    <definedName name="MarginOcmMath">Main!$X$6</definedName>
    <definedName name="MarginOinMath">Main!$W$6</definedName>
    <definedName name="Max_Page_Count">Main!$V$10</definedName>
    <definedName name="mm">Lists!$O$2</definedName>
    <definedName name="MSafeZoneCM">Main!$T$12</definedName>
    <definedName name="MSafeZoneH">Main!$R$12</definedName>
    <definedName name="MSafeZoneIN">Main!$S$12</definedName>
    <definedName name="MSafeZoneW">Main!$Q$12</definedName>
    <definedName name="MTrimBCM">Main!$T$9</definedName>
    <definedName name="MTrimBH">Main!$R$9</definedName>
    <definedName name="MTrimBIN">Main!$S$9</definedName>
    <definedName name="MTrimBW">Main!$Q$9</definedName>
    <definedName name="MTrimCM">Main!$T$6</definedName>
    <definedName name="MTrimH">Main!$R$6</definedName>
    <definedName name="MTrimIN">Main!$S$6</definedName>
    <definedName name="MTrimW">Main!$Q$6</definedName>
    <definedName name="PageCountChoice">Main!$I$19</definedName>
    <definedName name="PPI__cm">Main!$S$15</definedName>
    <definedName name="PPI__mm">Main!$R$15</definedName>
    <definedName name="PPI_In">Main!$Q$15</definedName>
    <definedName name="_xlnm.Print_Area" localSheetId="0">Main!$C$4:$M$26</definedName>
    <definedName name="Rng_IndexPgMax">LU_TrimSizes[[Black Ink &amp; Cream Paper]:[Color Ink &amp; White Paper]]</definedName>
    <definedName name="SpineTextCM">Main!$S$23</definedName>
    <definedName name="SpineTextCMmath">Main!$S$22</definedName>
    <definedName name="SpineTextIN">Main!$Q$23</definedName>
    <definedName name="SpineTextInMath">Main!$Q$22</definedName>
    <definedName name="SpineTextMM">Main!$R$23</definedName>
    <definedName name="SpineTextMMmath">Main!$R$22</definedName>
    <definedName name="SpineTextSize">Main!$T$22</definedName>
    <definedName name="SpineWidthCM">Main!$S$19</definedName>
    <definedName name="SpineWidthCmMath">Main!$S$18</definedName>
    <definedName name="SpineWidthIn">Main!$Q$19</definedName>
    <definedName name="SpineWidthInMath">Main!$Q$18</definedName>
    <definedName name="SpineWidthMM">Main!$R$19</definedName>
    <definedName name="SpineWidthMMmath">Main!$R$18</definedName>
    <definedName name="SpineWidthSize">Main!$T$19</definedName>
    <definedName name="TrimSizeChoice">Main!$I$16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18" i="2" l="1"/>
  <c r="AG18" i="2"/>
  <c r="AH18" i="2"/>
  <c r="AI18" i="2"/>
  <c r="AJ18" i="2"/>
  <c r="AT18" i="2"/>
  <c r="BB18" i="2"/>
  <c r="BK18" i="2"/>
  <c r="AO18" i="2"/>
  <c r="V10" i="1"/>
  <c r="J15" i="2"/>
  <c r="J16" i="2"/>
  <c r="J8" i="2"/>
  <c r="J9" i="2"/>
  <c r="J10" i="2"/>
  <c r="J11" i="2"/>
  <c r="I8" i="2"/>
  <c r="I9" i="2"/>
  <c r="I10" i="2"/>
  <c r="I11" i="2"/>
  <c r="L2" i="2"/>
  <c r="L3" i="2"/>
  <c r="L4" i="2"/>
  <c r="K2" i="2"/>
  <c r="K3" i="2"/>
  <c r="K4" i="2"/>
  <c r="BC10" i="2"/>
  <c r="BL10" i="2"/>
  <c r="BB3" i="2"/>
  <c r="BK3" i="2"/>
  <c r="BB4" i="2"/>
  <c r="BK4" i="2"/>
  <c r="BB5" i="2"/>
  <c r="BK5" i="2"/>
  <c r="BB6" i="2"/>
  <c r="BK6" i="2"/>
  <c r="BB7" i="2"/>
  <c r="BK7" i="2"/>
  <c r="BB8" i="2"/>
  <c r="BK8" i="2"/>
  <c r="BB9" i="2"/>
  <c r="BK9" i="2"/>
  <c r="BB10" i="2"/>
  <c r="BK10" i="2"/>
  <c r="BB11" i="2"/>
  <c r="BK11" i="2"/>
  <c r="BB12" i="2"/>
  <c r="BK12" i="2"/>
  <c r="BB13" i="2"/>
  <c r="BK13" i="2"/>
  <c r="BB14" i="2"/>
  <c r="BK14" i="2"/>
  <c r="BB15" i="2"/>
  <c r="BK15" i="2"/>
  <c r="BB16" i="2"/>
  <c r="BK16" i="2"/>
  <c r="BB17" i="2"/>
  <c r="BK17" i="2"/>
  <c r="AT3" i="2"/>
  <c r="AT4" i="2"/>
  <c r="AT5" i="2"/>
  <c r="AT6" i="2"/>
  <c r="AT7" i="2"/>
  <c r="AT8" i="2"/>
  <c r="AT9" i="2"/>
  <c r="AT10" i="2"/>
  <c r="AT11" i="2"/>
  <c r="AT12" i="2"/>
  <c r="AT13" i="2"/>
  <c r="AT14" i="2"/>
  <c r="AT15" i="2"/>
  <c r="AT16" i="2"/>
  <c r="AT17" i="2"/>
  <c r="AJ3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I3" i="2"/>
  <c r="AI4" i="2"/>
  <c r="AI5" i="2"/>
  <c r="AI6" i="2"/>
  <c r="AI7" i="2"/>
  <c r="AI8" i="2"/>
  <c r="AI9" i="2"/>
  <c r="AI10" i="2"/>
  <c r="AI11" i="2"/>
  <c r="AI12" i="2"/>
  <c r="AI13" i="2"/>
  <c r="AI14" i="2"/>
  <c r="AI15" i="2"/>
  <c r="AI16" i="2"/>
  <c r="AI17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2" i="2"/>
  <c r="BC3" i="2"/>
  <c r="BL3" i="2"/>
  <c r="BC18" i="2"/>
  <c r="BC6" i="2"/>
  <c r="BL6" i="2"/>
  <c r="BC14" i="2"/>
  <c r="BL14" i="2"/>
  <c r="BC5" i="2"/>
  <c r="BL5" i="2"/>
  <c r="BC17" i="2"/>
  <c r="BL17" i="2"/>
  <c r="BC13" i="2"/>
  <c r="BL13" i="2"/>
  <c r="BC9" i="2"/>
  <c r="BL9" i="2"/>
  <c r="BC16" i="2"/>
  <c r="BL16" i="2"/>
  <c r="BC12" i="2"/>
  <c r="BL12" i="2"/>
  <c r="BC8" i="2"/>
  <c r="BL8" i="2"/>
  <c r="BC4" i="2"/>
  <c r="BL4" i="2"/>
  <c r="BC15" i="2"/>
  <c r="BL15" i="2"/>
  <c r="BC11" i="2"/>
  <c r="BL11" i="2"/>
  <c r="BC7" i="2"/>
  <c r="BL7" i="2"/>
  <c r="BL18" i="2"/>
  <c r="BJ18" i="2"/>
  <c r="BD18" i="2"/>
  <c r="I15" i="2"/>
  <c r="I16" i="2"/>
  <c r="X3" i="1"/>
  <c r="U3" i="1"/>
  <c r="AH3" i="2"/>
  <c r="AH4" i="2"/>
  <c r="AH5" i="2"/>
  <c r="AH6" i="2"/>
  <c r="AH7" i="2"/>
  <c r="AH8" i="2"/>
  <c r="AH9" i="2"/>
  <c r="AH10" i="2"/>
  <c r="AH11" i="2"/>
  <c r="AH12" i="2"/>
  <c r="AH13" i="2"/>
  <c r="AH14" i="2"/>
  <c r="AH15" i="2"/>
  <c r="AH16" i="2"/>
  <c r="AH17" i="2"/>
  <c r="AG3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G3" i="2"/>
  <c r="G4" i="2"/>
  <c r="G2" i="2"/>
  <c r="X6" i="1"/>
  <c r="AU18" i="2"/>
  <c r="AV18" i="2"/>
  <c r="AU3" i="2"/>
  <c r="AU7" i="2"/>
  <c r="AU11" i="2"/>
  <c r="AU15" i="2"/>
  <c r="AV15" i="2"/>
  <c r="AU4" i="2"/>
  <c r="AU8" i="2"/>
  <c r="AU12" i="2"/>
  <c r="AU16" i="2"/>
  <c r="AU10" i="2"/>
  <c r="AU6" i="2"/>
  <c r="AU5" i="2"/>
  <c r="AU9" i="2"/>
  <c r="AV9" i="2"/>
  <c r="AU13" i="2"/>
  <c r="AU17" i="2"/>
  <c r="AU14" i="2"/>
  <c r="AV10" i="2"/>
  <c r="AV14" i="2"/>
  <c r="AV3" i="2"/>
  <c r="AV7" i="2"/>
  <c r="R12" i="1"/>
  <c r="AV11" i="2"/>
  <c r="AV4" i="2"/>
  <c r="AV8" i="2"/>
  <c r="AV12" i="2"/>
  <c r="AV16" i="2"/>
  <c r="AV5" i="2"/>
  <c r="AV13" i="2"/>
  <c r="AV17" i="2"/>
  <c r="BJ9" i="2"/>
  <c r="BJ13" i="2"/>
  <c r="BD5" i="2"/>
  <c r="BD16" i="2"/>
  <c r="BJ16" i="2"/>
  <c r="S15" i="1"/>
  <c r="S18" i="1"/>
  <c r="AZ18" i="2"/>
  <c r="Q15" i="1"/>
  <c r="Q18" i="1"/>
  <c r="AY18" i="2"/>
  <c r="V3" i="1"/>
  <c r="S3" i="1"/>
  <c r="R3" i="1"/>
  <c r="Q6" i="1"/>
  <c r="Q3" i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2" i="2"/>
  <c r="BG18" i="2"/>
  <c r="BA18" i="2"/>
  <c r="BE18" i="2"/>
  <c r="BF18" i="2"/>
  <c r="BH18" i="2"/>
  <c r="BN18" i="2"/>
  <c r="AZ6" i="2"/>
  <c r="BH6" i="2"/>
  <c r="AZ10" i="2"/>
  <c r="BH10" i="2"/>
  <c r="AZ14" i="2"/>
  <c r="BH14" i="2"/>
  <c r="AZ7" i="2"/>
  <c r="BH7" i="2"/>
  <c r="AZ15" i="2"/>
  <c r="BH15" i="2"/>
  <c r="S22" i="1"/>
  <c r="S23" i="1"/>
  <c r="AZ8" i="2"/>
  <c r="BH8" i="2"/>
  <c r="AZ16" i="2"/>
  <c r="BH16" i="2"/>
  <c r="AZ5" i="2"/>
  <c r="BH5" i="2"/>
  <c r="AZ9" i="2"/>
  <c r="BH9" i="2"/>
  <c r="AZ13" i="2"/>
  <c r="BH13" i="2"/>
  <c r="AZ17" i="2"/>
  <c r="BH17" i="2"/>
  <c r="AZ3" i="2"/>
  <c r="BH3" i="2"/>
  <c r="AZ11" i="2"/>
  <c r="BH11" i="2"/>
  <c r="AZ4" i="2"/>
  <c r="BH4" i="2"/>
  <c r="AZ12" i="2"/>
  <c r="BH12" i="2"/>
  <c r="AY6" i="2"/>
  <c r="BG6" i="2"/>
  <c r="AY10" i="2"/>
  <c r="BG10" i="2"/>
  <c r="AY14" i="2"/>
  <c r="BG14" i="2"/>
  <c r="Q22" i="1"/>
  <c r="Q23" i="1"/>
  <c r="AY3" i="2"/>
  <c r="BG3" i="2"/>
  <c r="AY11" i="2"/>
  <c r="BG11" i="2"/>
  <c r="AY4" i="2"/>
  <c r="BG4" i="2"/>
  <c r="AY12" i="2"/>
  <c r="BG12" i="2"/>
  <c r="AY5" i="2"/>
  <c r="BG5" i="2"/>
  <c r="AY9" i="2"/>
  <c r="BG9" i="2"/>
  <c r="AY13" i="2"/>
  <c r="BG13" i="2"/>
  <c r="AY17" i="2"/>
  <c r="BG17" i="2"/>
  <c r="AY7" i="2"/>
  <c r="BG7" i="2"/>
  <c r="AY15" i="2"/>
  <c r="BG15" i="2"/>
  <c r="AY8" i="2"/>
  <c r="BG8" i="2"/>
  <c r="AY16" i="2"/>
  <c r="BG16" i="2"/>
  <c r="V6" i="1"/>
  <c r="T3" i="1"/>
  <c r="R6" i="1"/>
  <c r="S6" i="1"/>
  <c r="BN5" i="2"/>
  <c r="BJ5" i="2"/>
  <c r="BJ8" i="2"/>
  <c r="BD4" i="2"/>
  <c r="BJ12" i="2"/>
  <c r="BD8" i="2"/>
  <c r="BJ4" i="2"/>
  <c r="BJ17" i="2"/>
  <c r="BD17" i="2"/>
  <c r="BJ7" i="2"/>
  <c r="BD7" i="2"/>
  <c r="BJ6" i="2"/>
  <c r="BD6" i="2"/>
  <c r="Q19" i="1"/>
  <c r="BD13" i="2"/>
  <c r="BD14" i="2"/>
  <c r="BJ14" i="2"/>
  <c r="BJ11" i="2"/>
  <c r="BD11" i="2"/>
  <c r="BD10" i="2"/>
  <c r="BJ10" i="2"/>
  <c r="BD12" i="2"/>
  <c r="BD9" i="2"/>
  <c r="BJ3" i="2"/>
  <c r="BD3" i="2"/>
  <c r="BJ15" i="2"/>
  <c r="BD15" i="2"/>
  <c r="S19" i="1"/>
  <c r="U6" i="1"/>
  <c r="U7" i="1"/>
  <c r="AQ18" i="2"/>
  <c r="AV6" i="2"/>
  <c r="T6" i="1"/>
  <c r="AO3" i="2"/>
  <c r="AO15" i="2"/>
  <c r="AO11" i="2"/>
  <c r="AO7" i="2"/>
  <c r="AO5" i="2"/>
  <c r="AO17" i="2"/>
  <c r="AO13" i="2"/>
  <c r="AO9" i="2"/>
  <c r="AO16" i="2"/>
  <c r="AO12" i="2"/>
  <c r="AO8" i="2"/>
  <c r="AO4" i="2"/>
  <c r="AO14" i="2"/>
  <c r="AO10" i="2"/>
  <c r="AO6" i="2"/>
  <c r="AW18" i="2"/>
  <c r="BM18" i="2"/>
  <c r="BI18" i="2"/>
  <c r="AQ6" i="2"/>
  <c r="AQ10" i="2"/>
  <c r="AQ14" i="2"/>
  <c r="AQ3" i="2"/>
  <c r="AQ7" i="2"/>
  <c r="AQ11" i="2"/>
  <c r="AQ15" i="2"/>
  <c r="AQ4" i="2"/>
  <c r="AQ8" i="2"/>
  <c r="AQ12" i="2"/>
  <c r="AQ16" i="2"/>
  <c r="AQ5" i="2"/>
  <c r="AQ9" i="2"/>
  <c r="AQ13" i="2"/>
  <c r="AQ17" i="2"/>
  <c r="R26" i="1"/>
  <c r="R29" i="1"/>
  <c r="BF5" i="2"/>
  <c r="S9" i="1"/>
  <c r="BN8" i="2"/>
  <c r="BF8" i="2"/>
  <c r="BF3" i="2"/>
  <c r="BN3" i="2"/>
  <c r="BE10" i="2"/>
  <c r="BA10" i="2"/>
  <c r="BE3" i="2"/>
  <c r="BA3" i="2"/>
  <c r="BE6" i="2"/>
  <c r="BA6" i="2"/>
  <c r="BN12" i="2"/>
  <c r="BF12" i="2"/>
  <c r="BF10" i="2"/>
  <c r="BN10" i="2"/>
  <c r="BE4" i="2"/>
  <c r="BA4" i="2"/>
  <c r="BE5" i="2"/>
  <c r="BA5" i="2"/>
  <c r="BN4" i="2"/>
  <c r="BF4" i="2"/>
  <c r="BN9" i="2"/>
  <c r="BF9" i="2"/>
  <c r="BF15" i="2"/>
  <c r="BN15" i="2"/>
  <c r="BN16" i="2"/>
  <c r="BF16" i="2"/>
  <c r="BE16" i="2"/>
  <c r="BA16" i="2"/>
  <c r="BE17" i="2"/>
  <c r="BA17" i="2"/>
  <c r="BF11" i="2"/>
  <c r="BN11" i="2"/>
  <c r="BF14" i="2"/>
  <c r="BN14" i="2"/>
  <c r="BE12" i="2"/>
  <c r="BA12" i="2"/>
  <c r="BE11" i="2"/>
  <c r="BA11" i="2"/>
  <c r="BE15" i="2"/>
  <c r="BA15" i="2"/>
  <c r="BE13" i="2"/>
  <c r="BA13" i="2"/>
  <c r="BN17" i="2"/>
  <c r="BF17" i="2"/>
  <c r="BN13" i="2"/>
  <c r="BF13" i="2"/>
  <c r="BF7" i="2"/>
  <c r="BN7" i="2"/>
  <c r="BF6" i="2"/>
  <c r="BN6" i="2"/>
  <c r="BE8" i="2"/>
  <c r="BA8" i="2"/>
  <c r="BA14" i="2"/>
  <c r="BE14" i="2"/>
  <c r="BE7" i="2"/>
  <c r="BA7" i="2"/>
  <c r="BE9" i="2"/>
  <c r="BA9" i="2"/>
  <c r="V7" i="1"/>
  <c r="AR18" i="2"/>
  <c r="AX18" i="2"/>
  <c r="AS18" i="2"/>
  <c r="AR5" i="2"/>
  <c r="AX5" i="2"/>
  <c r="AR9" i="2"/>
  <c r="AX9" i="2"/>
  <c r="AR13" i="2"/>
  <c r="AX13" i="2"/>
  <c r="AR17" i="2"/>
  <c r="AX17" i="2"/>
  <c r="AR6" i="2"/>
  <c r="AX6" i="2"/>
  <c r="AR10" i="2"/>
  <c r="AX10" i="2"/>
  <c r="AR14" i="2"/>
  <c r="AX14" i="2"/>
  <c r="AR3" i="2"/>
  <c r="AX3" i="2"/>
  <c r="AR7" i="2"/>
  <c r="AX7" i="2"/>
  <c r="AR11" i="2"/>
  <c r="AX11" i="2"/>
  <c r="AR15" i="2"/>
  <c r="AX15" i="2"/>
  <c r="AR4" i="2"/>
  <c r="AX4" i="2"/>
  <c r="AR8" i="2"/>
  <c r="AX8" i="2"/>
  <c r="AR12" i="2"/>
  <c r="AX12" i="2"/>
  <c r="AR16" i="2"/>
  <c r="AX16" i="2"/>
  <c r="Q26" i="1"/>
  <c r="T29" i="1"/>
  <c r="T26" i="1"/>
  <c r="S26" i="1"/>
  <c r="BM12" i="2"/>
  <c r="BI12" i="2"/>
  <c r="BI13" i="2"/>
  <c r="BM13" i="2"/>
  <c r="BI11" i="2"/>
  <c r="BM11" i="2"/>
  <c r="BM17" i="2"/>
  <c r="BI17" i="2"/>
  <c r="BM6" i="2"/>
  <c r="BI6" i="2"/>
  <c r="BI7" i="2"/>
  <c r="BM7" i="2"/>
  <c r="BI15" i="2"/>
  <c r="BM15" i="2"/>
  <c r="BM16" i="2"/>
  <c r="BI16" i="2"/>
  <c r="BI3" i="2"/>
  <c r="BM3" i="2"/>
  <c r="BM8" i="2"/>
  <c r="BI8" i="2"/>
  <c r="BM4" i="2"/>
  <c r="BI4" i="2"/>
  <c r="BM9" i="2"/>
  <c r="BI9" i="2"/>
  <c r="BM14" i="2"/>
  <c r="BI14" i="2"/>
  <c r="BI5" i="2"/>
  <c r="BM5" i="2"/>
  <c r="BM10" i="2"/>
  <c r="BI10" i="2"/>
  <c r="AW3" i="2"/>
  <c r="AW7" i="2"/>
  <c r="AW12" i="2"/>
  <c r="AW15" i="2"/>
  <c r="AW4" i="2"/>
  <c r="AW13" i="2"/>
  <c r="AW16" i="2"/>
  <c r="AW5" i="2"/>
  <c r="AW10" i="2"/>
  <c r="AW14" i="2"/>
  <c r="AW17" i="2"/>
  <c r="AW8" i="2"/>
  <c r="AW6" i="2"/>
  <c r="AW11" i="2"/>
  <c r="AW9" i="2"/>
  <c r="N6" i="2"/>
  <c r="AM18" i="2"/>
  <c r="O6" i="2"/>
  <c r="AN18" i="2"/>
  <c r="AL18" i="2"/>
  <c r="N7" i="2"/>
  <c r="O7" i="2"/>
  <c r="AK18" i="2"/>
  <c r="AP18" i="2"/>
  <c r="AM6" i="2"/>
  <c r="AM10" i="2"/>
  <c r="AM14" i="2"/>
  <c r="AM3" i="2"/>
  <c r="AM7" i="2"/>
  <c r="AM11" i="2"/>
  <c r="AM15" i="2"/>
  <c r="AM17" i="2"/>
  <c r="AM9" i="2"/>
  <c r="AM4" i="2"/>
  <c r="AM8" i="2"/>
  <c r="AM12" i="2"/>
  <c r="AM16" i="2"/>
  <c r="AM5" i="2"/>
  <c r="AM13" i="2"/>
  <c r="AN5" i="2"/>
  <c r="AL5" i="2"/>
  <c r="AN9" i="2"/>
  <c r="AN13" i="2"/>
  <c r="AN17" i="2"/>
  <c r="AN6" i="2"/>
  <c r="AL6" i="2"/>
  <c r="AN10" i="2"/>
  <c r="AN14" i="2"/>
  <c r="AN8" i="2"/>
  <c r="AN16" i="2"/>
  <c r="AN3" i="2"/>
  <c r="AN7" i="2"/>
  <c r="AN11" i="2"/>
  <c r="AN15" i="2"/>
  <c r="AL15" i="2"/>
  <c r="AN4" i="2"/>
  <c r="AN12" i="2"/>
  <c r="Q29" i="1"/>
  <c r="T12" i="1"/>
  <c r="S12" i="1"/>
  <c r="S29" i="1"/>
  <c r="AS11" i="2"/>
  <c r="AS8" i="2"/>
  <c r="AS14" i="2"/>
  <c r="AS13" i="2"/>
  <c r="AS15" i="2"/>
  <c r="AS7" i="2"/>
  <c r="AS5" i="2"/>
  <c r="AS17" i="2"/>
  <c r="AS10" i="2"/>
  <c r="AS16" i="2"/>
  <c r="AS4" i="2"/>
  <c r="AS3" i="2"/>
  <c r="AS9" i="2"/>
  <c r="AS6" i="2"/>
  <c r="AS12" i="2"/>
  <c r="AL3" i="2"/>
  <c r="AL7" i="2"/>
  <c r="R9" i="1"/>
  <c r="AL11" i="2"/>
  <c r="AL4" i="2"/>
  <c r="AL12" i="2"/>
  <c r="AL16" i="2"/>
  <c r="AL17" i="2"/>
  <c r="AL10" i="2"/>
  <c r="AL14" i="2"/>
  <c r="AK8" i="2"/>
  <c r="AK9" i="2"/>
  <c r="AK13" i="2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3" i="2"/>
  <c r="Q12" i="1"/>
  <c r="AK17" i="2"/>
  <c r="AP17" i="2"/>
  <c r="AK16" i="2"/>
  <c r="AP16" i="2"/>
  <c r="AP13" i="2"/>
  <c r="AL13" i="2"/>
  <c r="AP11" i="2"/>
  <c r="AK11" i="2"/>
  <c r="AP10" i="2"/>
  <c r="AK10" i="2"/>
  <c r="AP7" i="2"/>
  <c r="AK7" i="2"/>
  <c r="Q9" i="1"/>
  <c r="AK6" i="2"/>
  <c r="AP6" i="2"/>
  <c r="AK5" i="2"/>
  <c r="AP5" i="2"/>
  <c r="AK4" i="2"/>
  <c r="AP4" i="2"/>
  <c r="AP15" i="2"/>
  <c r="AK15" i="2"/>
  <c r="AK14" i="2"/>
  <c r="AP14" i="2"/>
  <c r="AK12" i="2"/>
  <c r="AP12" i="2"/>
  <c r="AP9" i="2"/>
  <c r="AL9" i="2"/>
  <c r="AP8" i="2"/>
  <c r="AL8" i="2"/>
  <c r="AP3" i="2"/>
  <c r="AK3" i="2"/>
  <c r="T9" i="1"/>
  <c r="R15" i="1"/>
  <c r="R18" i="1"/>
  <c r="R22" i="1"/>
  <c r="R19" i="1"/>
  <c r="T19" i="1"/>
  <c r="R23" i="1"/>
  <c r="T22" i="1"/>
</calcChain>
</file>

<file path=xl/sharedStrings.xml><?xml version="1.0" encoding="utf-8"?>
<sst xmlns="http://schemas.openxmlformats.org/spreadsheetml/2006/main" count="522" uniqueCount="293">
  <si>
    <t>Ink</t>
  </si>
  <si>
    <t>Paper</t>
  </si>
  <si>
    <t>Page thickness (Inches)</t>
  </si>
  <si>
    <t>Page Thickness (mm)</t>
  </si>
  <si>
    <t>Inch</t>
  </si>
  <si>
    <t>cm</t>
  </si>
  <si>
    <t>mm</t>
  </si>
  <si>
    <t>Trim Width</t>
  </si>
  <si>
    <t>Trim Height</t>
  </si>
  <si>
    <t>Bleed Option</t>
  </si>
  <si>
    <t>Cover Width</t>
  </si>
  <si>
    <t>Cover Height</t>
  </si>
  <si>
    <t>Outside Margin</t>
  </si>
  <si>
    <t>Black Ink</t>
  </si>
  <si>
    <t>Color Ink</t>
  </si>
  <si>
    <t>Trim Size</t>
  </si>
  <si>
    <t>Requirements List</t>
  </si>
  <si>
    <t>Manuscript</t>
  </si>
  <si>
    <t>No Bleed Manuscript Layout</t>
  </si>
  <si>
    <t>Gutter Margin</t>
  </si>
  <si>
    <t>Page Size</t>
  </si>
  <si>
    <t>Safe Zone Size</t>
  </si>
  <si>
    <t>Bleed Manuscript Layout</t>
  </si>
  <si>
    <t>Manuscript Bleed Size</t>
  </si>
  <si>
    <t>Total Outside</t>
  </si>
  <si>
    <t>Trim Size + Bleed</t>
  </si>
  <si>
    <t>Cover</t>
  </si>
  <si>
    <t>Left-to-Right Reading Book Cover Layout</t>
  </si>
  <si>
    <t>Spine Width</t>
  </si>
  <si>
    <t>Spine Text Width</t>
  </si>
  <si>
    <t>Spine Margin</t>
  </si>
  <si>
    <t>Bleed</t>
  </si>
  <si>
    <t>Trim Variance</t>
  </si>
  <si>
    <t>Barcode Size</t>
  </si>
  <si>
    <t>Cover Size</t>
  </si>
  <si>
    <t>Barcode Placement</t>
  </si>
  <si>
    <t>Right-to-Left Reading Book Cover Layout</t>
  </si>
  <si>
    <t>Ink &amp; Paper</t>
  </si>
  <si>
    <t>Page Count</t>
  </si>
  <si>
    <t>ReqKey</t>
  </si>
  <si>
    <t>Category</t>
  </si>
  <si>
    <t>SubCategory</t>
  </si>
  <si>
    <t>Input</t>
  </si>
  <si>
    <t>=ScSafeZone</t>
  </si>
  <si>
    <t>=ScTrim</t>
  </si>
  <si>
    <t>=ScSize</t>
  </si>
  <si>
    <t>No Bleed Manuscript Size</t>
  </si>
  <si>
    <t>=mMarginG</t>
  </si>
  <si>
    <t>=ITrimSize</t>
  </si>
  <si>
    <t>=SmSafeZone</t>
  </si>
  <si>
    <t>=SmnbPage</t>
  </si>
  <si>
    <t>=SmbTrimB</t>
  </si>
  <si>
    <t>=WcSpine</t>
  </si>
  <si>
    <t>=WcSpineText</t>
  </si>
  <si>
    <t>=CcMarginS</t>
  </si>
  <si>
    <t>=CcTrimVar</t>
  </si>
  <si>
    <t>=CcBleed</t>
  </si>
  <si>
    <t>=CmMarginO</t>
  </si>
  <si>
    <t>=CmbBleed</t>
  </si>
  <si>
    <t>=CmbTotalO</t>
  </si>
  <si>
    <t>=CcMarginO</t>
  </si>
  <si>
    <t>=CcbarSize</t>
  </si>
  <si>
    <t>=CclrBarcodeP</t>
  </si>
  <si>
    <t>=CcrlBarcodeP</t>
  </si>
  <si>
    <t>Page Number</t>
  </si>
  <si>
    <t>=IPgNo</t>
  </si>
  <si>
    <t>=IWtrim</t>
  </si>
  <si>
    <t>=IHtrim</t>
  </si>
  <si>
    <t>Ink and Paper Choice</t>
  </si>
  <si>
    <t>=IPaperChoice</t>
  </si>
  <si>
    <t>Variable</t>
  </si>
  <si>
    <t>PPI</t>
  </si>
  <si>
    <t>=VPPI</t>
  </si>
  <si>
    <t>=Ibleed</t>
  </si>
  <si>
    <t>Cover Reading</t>
  </si>
  <si>
    <t>=Ireading</t>
  </si>
  <si>
    <t>Name</t>
  </si>
  <si>
    <t>SubCategory Requirement</t>
  </si>
  <si>
    <t>Back Cover Width</t>
  </si>
  <si>
    <t>=WcBack</t>
  </si>
  <si>
    <t>Front Cover Width</t>
  </si>
  <si>
    <t>=WcFront</t>
  </si>
  <si>
    <t>Back Cover Height</t>
  </si>
  <si>
    <t>Front Cover Height</t>
  </si>
  <si>
    <t>=HcBack</t>
  </si>
  <si>
    <t>=HcFront</t>
  </si>
  <si>
    <t>=CcMarginSR</t>
  </si>
  <si>
    <t>Spine Right Margin</t>
  </si>
  <si>
    <t>Spine Left Margin</t>
  </si>
  <si>
    <t>=CcMarginSL</t>
  </si>
  <si>
    <t>Bleed Cover Top</t>
  </si>
  <si>
    <t>Bleed Cover Bottom</t>
  </si>
  <si>
    <t>Bleed Cover Right</t>
  </si>
  <si>
    <t>Bleed Cover Left</t>
  </si>
  <si>
    <t>Bleed Outside</t>
  </si>
  <si>
    <t>Bleed Top</t>
  </si>
  <si>
    <t>Bleed Bottom</t>
  </si>
  <si>
    <t>=CcBleedT</t>
  </si>
  <si>
    <t>=CcBleedB</t>
  </si>
  <si>
    <t>=CcBleedR</t>
  </si>
  <si>
    <t>=CcBleedL</t>
  </si>
  <si>
    <t>=CmBleedO</t>
  </si>
  <si>
    <t>=CmBleedT</t>
  </si>
  <si>
    <t>=CmBleedB</t>
  </si>
  <si>
    <t>PageCount</t>
  </si>
  <si>
    <t>Inside (Gutter Margin)</t>
  </si>
  <si>
    <t>Outside Margin - No Bleed</t>
  </si>
  <si>
    <t>Outside margin - Bleed</t>
  </si>
  <si>
    <t>Cover Safe Zone Width</t>
  </si>
  <si>
    <t>Cover Safe Zone Height</t>
  </si>
  <si>
    <t>=WcSafeZone</t>
  </si>
  <si>
    <t>=HcSafeZone</t>
  </si>
  <si>
    <t>Cream Paper</t>
  </si>
  <si>
    <t>White Paper</t>
  </si>
  <si>
    <t>Trim Sizes - Inches and cm</t>
  </si>
  <si>
    <t>Trim Width (in)</t>
  </si>
  <si>
    <t>Trim Height (in)</t>
  </si>
  <si>
    <t>Trim Size (in)</t>
  </si>
  <si>
    <t>Trim Width (cm)</t>
  </si>
  <si>
    <t>Trim Height (cm)</t>
  </si>
  <si>
    <t>Trim Size (cm)</t>
  </si>
  <si>
    <t>5" x 8"</t>
  </si>
  <si>
    <t>(12.7 x 20.32 cm)</t>
  </si>
  <si>
    <t>5.06" x 7.81"</t>
  </si>
  <si>
    <t>(12.85 x 19.84 cm)</t>
  </si>
  <si>
    <t>5.25" x 8"</t>
  </si>
  <si>
    <t>(13.34 x 20.32 cm)</t>
  </si>
  <si>
    <t>5.5" x 8.5"</t>
  </si>
  <si>
    <t>(13.97 x 21.59 cm)</t>
  </si>
  <si>
    <t>6" x 9"</t>
  </si>
  <si>
    <t>(15.24 x 22.86 cm)</t>
  </si>
  <si>
    <t>6.14" x 9.21"</t>
  </si>
  <si>
    <t>(15.6 x 23.39 cm)</t>
  </si>
  <si>
    <t>6.69" x 9.61"</t>
  </si>
  <si>
    <t>(16.99 x 24.41 cm)</t>
  </si>
  <si>
    <t>7" x 10"</t>
  </si>
  <si>
    <t>(17.78 x 25.4 cm)</t>
  </si>
  <si>
    <t>7.44" x 9.69"</t>
  </si>
  <si>
    <t>(18.9 x 24.61 cm)</t>
  </si>
  <si>
    <t>7.5" x 9.25"</t>
  </si>
  <si>
    <t>(19.05 x 23.5 cm)</t>
  </si>
  <si>
    <t>8" x 10"</t>
  </si>
  <si>
    <t>(20.32 x 25.4 cm)</t>
  </si>
  <si>
    <t>8.5" x 11"</t>
  </si>
  <si>
    <t>(21.59 x 27.94 cm)</t>
  </si>
  <si>
    <t>8.25" x 6"</t>
  </si>
  <si>
    <t>(20.96 x 15.24 cm)</t>
  </si>
  <si>
    <t>8.25" x 8.25"</t>
  </si>
  <si>
    <t>(20.96 x 20.96 cm)</t>
  </si>
  <si>
    <t>8.5" x 8.5"</t>
  </si>
  <si>
    <t>(21.59 x 21.59 cm)</t>
  </si>
  <si>
    <t>Full Trim Size</t>
  </si>
  <si>
    <t>Official Ink &amp; Color Text</t>
  </si>
  <si>
    <t>List_TrimSize</t>
  </si>
  <si>
    <t>Trim Size Option</t>
  </si>
  <si>
    <t>Trim W Bleed (in)</t>
  </si>
  <si>
    <t>Trim H Bleed (in)</t>
  </si>
  <si>
    <t>Trim W Bleed (cm)</t>
  </si>
  <si>
    <t>Trim H Bleed (cm)</t>
  </si>
  <si>
    <t>Full Trim Bleed (in)</t>
  </si>
  <si>
    <t>Full Trim Bleed (cm)</t>
  </si>
  <si>
    <t>In</t>
  </si>
  <si>
    <t>mBleedName</t>
  </si>
  <si>
    <t>Bleed W</t>
  </si>
  <si>
    <t>Bleed H</t>
  </si>
  <si>
    <t>Gutter (mm)</t>
  </si>
  <si>
    <t>Gutter Full Name</t>
  </si>
  <si>
    <t>Interior Bleed Text</t>
  </si>
  <si>
    <t>Interior No Bleed Text</t>
  </si>
  <si>
    <t>Manuscript Trim Size (W)</t>
  </si>
  <si>
    <t>Manuscript Trim Size (H)</t>
  </si>
  <si>
    <t>Manuscript Trim Size (In)</t>
  </si>
  <si>
    <t>Manuscript Trim Size (cm)</t>
  </si>
  <si>
    <t>Manuscript Trim W</t>
  </si>
  <si>
    <t>Manuscript Trim H</t>
  </si>
  <si>
    <t>Manuscript Trim Bleed W</t>
  </si>
  <si>
    <t>Manuscript Trim Bleed H</t>
  </si>
  <si>
    <t>Manuscript Trim Size + Bleed (W)</t>
  </si>
  <si>
    <t>Manuscript Trim Size + Bleed (H)</t>
  </si>
  <si>
    <t>Manuscript Trim Size + Bleed (In)</t>
  </si>
  <si>
    <t>Manuscript Trim Size + Bleed (cm)</t>
  </si>
  <si>
    <t>Gutter Margin IN</t>
  </si>
  <si>
    <t>Gutter Margin mm</t>
  </si>
  <si>
    <t>Manuscript Safe Zone (W)</t>
  </si>
  <si>
    <t>Manuscript Safe Zone (H)</t>
  </si>
  <si>
    <t>Manuscript Safe Zone (IN)</t>
  </si>
  <si>
    <t>Manuscript Safe Zone (cm)</t>
  </si>
  <si>
    <t>Manuscript Safe Zone H</t>
  </si>
  <si>
    <t>Manuscript Safe Zone W</t>
  </si>
  <si>
    <t>Outside Margin IN</t>
  </si>
  <si>
    <t>Outside Margin cm</t>
  </si>
  <si>
    <t>Manuscript Safe Zone W in</t>
  </si>
  <si>
    <t>Manuscript Safe Zone W cm</t>
  </si>
  <si>
    <t>Manuscript Safe Zone H in</t>
  </si>
  <si>
    <t>Manuscript Safe Zone H (cm)</t>
  </si>
  <si>
    <t>Manuscript Safe Zone IN</t>
  </si>
  <si>
    <t>Page Thickness (cm)</t>
  </si>
  <si>
    <t>PPI (in)</t>
  </si>
  <si>
    <t>PPI (mm)</t>
  </si>
  <si>
    <t>PPI (cm)</t>
  </si>
  <si>
    <t>Cover Bleed Area</t>
  </si>
  <si>
    <t>Cover Bleed L</t>
  </si>
  <si>
    <t>Cover Bleed R</t>
  </si>
  <si>
    <t>Cover Bleed T</t>
  </si>
  <si>
    <t>Cover Bleed B</t>
  </si>
  <si>
    <t>Cover Bleed (In)</t>
  </si>
  <si>
    <t>Cover Bleed (cm)</t>
  </si>
  <si>
    <t>Cover Bleed (mm)</t>
  </si>
  <si>
    <t>L Spine Margin</t>
  </si>
  <si>
    <t>R Spine Margin</t>
  </si>
  <si>
    <t>Spine Margin (in)</t>
  </si>
  <si>
    <t>Spine Margin (mm)</t>
  </si>
  <si>
    <t>Spine Margin (cm)</t>
  </si>
  <si>
    <t>Spine Width In</t>
  </si>
  <si>
    <t>Spine Width (mm)</t>
  </si>
  <si>
    <t>Spine Width (cm)</t>
  </si>
  <si>
    <t>Spine Text Size (In)</t>
  </si>
  <si>
    <t>Spine Text Size (mm)</t>
  </si>
  <si>
    <t>Spine Text Size (cm)</t>
  </si>
  <si>
    <t>Spine Width Size</t>
  </si>
  <si>
    <t>Spine Text Size</t>
  </si>
  <si>
    <t>Cover W In</t>
  </si>
  <si>
    <t>Cover W (cm)</t>
  </si>
  <si>
    <t>Cover Height In</t>
  </si>
  <si>
    <t>Cover Height CM</t>
  </si>
  <si>
    <t>Cover Size In</t>
  </si>
  <si>
    <t>Cover Size CM</t>
  </si>
  <si>
    <t>Cover Safe Zone W (in)</t>
  </si>
  <si>
    <t>Cover Safe Zone W cm</t>
  </si>
  <si>
    <t>Cover Safe Zone W</t>
  </si>
  <si>
    <t>Cover Safe Zone H in</t>
  </si>
  <si>
    <t>Cover Safe Zone H cm</t>
  </si>
  <si>
    <t>Cover Safe Zone H</t>
  </si>
  <si>
    <t>Cover Safe Zone IN</t>
  </si>
  <si>
    <t>Cover Safe Zone CM</t>
  </si>
  <si>
    <t>Cover Safe Zone In</t>
  </si>
  <si>
    <t>Manuscript w/No Bleed</t>
  </si>
  <si>
    <t>Manuscript w/Bleed</t>
  </si>
  <si>
    <t>Black Ink &amp; Cream Paper</t>
  </si>
  <si>
    <t>Black Ink &amp; White Paper</t>
  </si>
  <si>
    <t>Color Ink &amp; White Paper</t>
  </si>
  <si>
    <t>Max Page Count</t>
  </si>
  <si>
    <t>Maximum Page Counts for Ink &amp; Paper Choice and Trim Size</t>
  </si>
  <si>
    <t>5” x 8” (12.7 x 20.32 cm)</t>
  </si>
  <si>
    <t>5.06” x 7.81” (12.85 x 19.84 cm)</t>
  </si>
  <si>
    <t>5.25” x 8” (13.34 x 20.32 cm)</t>
  </si>
  <si>
    <t>5.5” x 8.5” (13.97 x 21.59 cm)</t>
  </si>
  <si>
    <t>6” x 9” (15.24 x 22.86 cm)</t>
  </si>
  <si>
    <t>6.14” x 9.21” (15.6 x 23.39 cm)</t>
  </si>
  <si>
    <t>6.69” x 9.61” (16.99 x 24.4 cm)</t>
  </si>
  <si>
    <t>7” x 10” (17.78 x 25.4 cm)</t>
  </si>
  <si>
    <t>7.44” x 9.69” (18.9 x 24.61 cm)</t>
  </si>
  <si>
    <t>7.5” x 9.25” (19.05 x 23.5 cm)</t>
  </si>
  <si>
    <t>8” X 10” (20.32 x 25.4 cm)</t>
  </si>
  <si>
    <t>8.25” X 6” (20.96 x 15.24 cm)</t>
  </si>
  <si>
    <t>8.25” X 8.25” (20.96 x 20.96 cm)</t>
  </si>
  <si>
    <t>8.5” X 8.5” (21.59 x 21.59 cm)</t>
  </si>
  <si>
    <t>8.5” X 11” (21.59 x 27.94 cm)</t>
  </si>
  <si>
    <t>8.27” x 11.69” (21 x 29.7 cm)</t>
  </si>
  <si>
    <t>Not Available</t>
  </si>
  <si>
    <t>8.27" x 11.69"</t>
  </si>
  <si>
    <t>(21 x 29.7 cm)</t>
  </si>
  <si>
    <t>Version</t>
  </si>
  <si>
    <t>Date</t>
  </si>
  <si>
    <t>TT/SIM</t>
  </si>
  <si>
    <t>Updates Made</t>
  </si>
  <si>
    <t>Completed File Name</t>
  </si>
  <si>
    <t>Link</t>
  </si>
  <si>
    <t>NA</t>
  </si>
  <si>
    <t>Original</t>
  </si>
  <si>
    <t>KDP Print_File_Setup Calculator</t>
  </si>
  <si>
    <t>KDP Print_File Setup Calculator</t>
  </si>
  <si>
    <t>https://issues.amazon.com/TS-OH-98</t>
  </si>
  <si>
    <t>Cause: KC wasn't updated with the newest File Setup Calc
Solution: Update the guide calculator with the file: KDP_Print_File_Setup_Calculator_V2</t>
  </si>
  <si>
    <t>KDP Print_File_Setup Calculator_V2</t>
  </si>
  <si>
    <t>KDP Print_File Setup Calculator_V2</t>
  </si>
  <si>
    <t xml:space="preserve">https://issues.amazon.com/PubEd-124 </t>
  </si>
  <si>
    <t>Cause: Max page count was not reflecting the correct values. Updated Table Range in Hidden Lists tab and enabled workbook protection again.
Solution: Update the guide calculator with the file: KDP_Print_File_Setup_Calculator_V2</t>
  </si>
  <si>
    <t xml:space="preserve">https://issues.amazon.com/TS-OH-98 </t>
  </si>
  <si>
    <t>Updated template text in the images to match correct calculations</t>
  </si>
  <si>
    <t>KDP Print_File_Setup Calculator_V3</t>
  </si>
  <si>
    <t>KDP Print_File Setup Calculator_V3</t>
  </si>
  <si>
    <t>https://issues.amazon.com/issues/GPS-1344</t>
  </si>
  <si>
    <t>Increased max page counts to accommodate new specifications</t>
  </si>
  <si>
    <t>KDP Print_File_Setup Calculator_V4</t>
  </si>
  <si>
    <t>KDP_Print_File_Setup_Calculator_V4</t>
  </si>
  <si>
    <t>https://issues.amazon.com/UPLPLC-171</t>
  </si>
  <si>
    <t>Provided an Unlocked Version of the Kdp Print_File_Setup_Calculator_V4 for localization purposes</t>
  </si>
  <si>
    <t>KDP Print_File_Setup Calculator_V4_Unlocked</t>
  </si>
  <si>
    <t>KDP_Print_File_Setup_Calculator-V4_Unlocked.xlsm</t>
  </si>
  <si>
    <t>https://issues.amazon.com/V53539564</t>
  </si>
  <si>
    <t>Included a change log and the final version</t>
  </si>
  <si>
    <t>KDP Print_File_Setup Calculator_V5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</si>
</sst>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Calibri"/>
      <family val="2"/>
      <scheme val="minor"/>
    </font>
    <font>
      <b/>
      <sz val="18"/>
      <color rgb="FFF8991C"/>
      <name val="Helvetica Neue"/>
      <charset val="1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5"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/>
    </xf>
    <xf numFmtId="0" fontId="2" fillId="0" borderId="0" xfId="0" quotePrefix="1" applyFont="1"/>
    <xf numFmtId="0" fontId="0" fillId="0" borderId="0" xfId="0" quotePrefix="1"/>
    <xf numFmtId="2" fontId="0" fillId="0" borderId="0" xfId="0" applyNumberFormat="1"/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Alignment="1">
      <alignment horizontal="left"/>
    </xf>
    <xf numFmtId="0" fontId="0" fillId="0" borderId="0" xfId="0" applyNumberFormat="1"/>
    <xf numFmtId="0" fontId="7" fillId="0" borderId="0" xfId="0" applyFont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3" borderId="0" xfId="0" applyFill="1"/>
    <xf numFmtId="0" fontId="0" fillId="0" borderId="1" xfId="0" applyBorder="1" applyProtection="1"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3" xfId="0" applyFont="1" applyBorder="1"/>
    <xf numFmtId="0" fontId="0" fillId="0" borderId="15" xfId="0" applyFont="1" applyBorder="1"/>
    <xf numFmtId="0" fontId="0" fillId="0" borderId="14" xfId="0" applyFont="1" applyBorder="1"/>
    <xf numFmtId="2" fontId="0" fillId="0" borderId="13" xfId="0" applyNumberFormat="1" applyFont="1" applyBorder="1"/>
    <xf numFmtId="0" fontId="0" fillId="0" borderId="16" xfId="0" applyBorder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/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/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applyAlignment="1">
      <alignment horizontal="right" wrapText="1"/>
    </xf>
    <xf numFmtId="0" fontId="0" fillId="0" borderId="0" xfId="0" applyAlignment="1">
      <alignment horizontal="right" vertical="center" wrapText="1"/>
    </xf>
    <xf numFmtId="14" fontId="0" fillId="0" borderId="0" xfId="0" applyNumberFormat="1"/>
    <xf numFmtId="0" fontId="9" fillId="0" borderId="0" xfId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8" fillId="0" borderId="8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56">
    <dxf>
      <numFmt numFmtId="19" formatCode="m/d/yyyy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899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teriorNoBleed"/><Relationship Id="rId2" Type="http://schemas.openxmlformats.org/officeDocument/2006/relationships/hyperlink" Target="#InteriorBleed"/><Relationship Id="rId1" Type="http://schemas.openxmlformats.org/officeDocument/2006/relationships/image" Target="../media/image5.png"/><Relationship Id="rId5" Type="http://schemas.openxmlformats.org/officeDocument/2006/relationships/image" Target="../media/image6.emf"/><Relationship Id="rId4" Type="http://schemas.openxmlformats.org/officeDocument/2006/relationships/hyperlink" Target="#CoverLTR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teriorNoBleed"/><Relationship Id="rId2" Type="http://schemas.openxmlformats.org/officeDocument/2006/relationships/hyperlink" Target="#CoverLTR"/><Relationship Id="rId1" Type="http://schemas.openxmlformats.org/officeDocument/2006/relationships/image" Target="../media/image7.png"/><Relationship Id="rId4" Type="http://schemas.openxmlformats.org/officeDocument/2006/relationships/hyperlink" Target="#MainMenu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teriorBleed"/><Relationship Id="rId2" Type="http://schemas.openxmlformats.org/officeDocument/2006/relationships/hyperlink" Target="#CoverLTR"/><Relationship Id="rId1" Type="http://schemas.openxmlformats.org/officeDocument/2006/relationships/image" Target="../media/image8.png"/><Relationship Id="rId4" Type="http://schemas.openxmlformats.org/officeDocument/2006/relationships/hyperlink" Target="#MainMenu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teriorNoBleed"/><Relationship Id="rId2" Type="http://schemas.openxmlformats.org/officeDocument/2006/relationships/hyperlink" Target="#InteriorBleed"/><Relationship Id="rId1" Type="http://schemas.openxmlformats.org/officeDocument/2006/relationships/image" Target="../media/image9.png"/><Relationship Id="rId4" Type="http://schemas.openxmlformats.org/officeDocument/2006/relationships/hyperlink" Target="#MainMenu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11</xdr:row>
          <xdr:rowOff>161925</xdr:rowOff>
        </xdr:from>
        <xdr:to>
          <xdr:col>7</xdr:col>
          <xdr:colOff>361950</xdr:colOff>
          <xdr:row>13</xdr:row>
          <xdr:rowOff>47625</xdr:rowOff>
        </xdr:to>
        <xdr:sp macro="" textlink="">
          <xdr:nvSpPr>
            <xdr:cNvPr id="5122" name="InteriorType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14</xdr:row>
          <xdr:rowOff>133350</xdr:rowOff>
        </xdr:from>
        <xdr:to>
          <xdr:col>7</xdr:col>
          <xdr:colOff>104775</xdr:colOff>
          <xdr:row>16</xdr:row>
          <xdr:rowOff>19050</xdr:rowOff>
        </xdr:to>
        <xdr:sp macro="" textlink="">
          <xdr:nvSpPr>
            <xdr:cNvPr id="5123" name="lblTrimSize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17</xdr:row>
          <xdr:rowOff>76200</xdr:rowOff>
        </xdr:from>
        <xdr:to>
          <xdr:col>7</xdr:col>
          <xdr:colOff>295275</xdr:colOff>
          <xdr:row>18</xdr:row>
          <xdr:rowOff>161925</xdr:rowOff>
        </xdr:to>
        <xdr:sp macro="" textlink="">
          <xdr:nvSpPr>
            <xdr:cNvPr id="5124" name="Label2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18</xdr:row>
          <xdr:rowOff>19050</xdr:rowOff>
        </xdr:from>
        <xdr:to>
          <xdr:col>10</xdr:col>
          <xdr:colOff>228600</xdr:colOff>
          <xdr:row>19</xdr:row>
          <xdr:rowOff>66675</xdr:rowOff>
        </xdr:to>
        <xdr:sp macro="" textlink="">
          <xdr:nvSpPr>
            <xdr:cNvPr id="5126" name="Label24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243840</xdr:colOff>
      <xdr:row>3</xdr:row>
      <xdr:rowOff>133703</xdr:rowOff>
    </xdr:from>
    <xdr:to>
      <xdr:col>5</xdr:col>
      <xdr:colOff>577410</xdr:colOff>
      <xdr:row>8</xdr:row>
      <xdr:rowOff>26318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040" y="321962"/>
          <a:ext cx="2162370" cy="789085"/>
        </a:xfrm>
        <a:prstGeom prst="rect">
          <a:avLst/>
        </a:prstGeom>
      </xdr:spPr>
    </xdr:pic>
    <xdr:clientData/>
  </xdr:twoCellAnchor>
  <xdr:twoCellAnchor>
    <xdr:from>
      <xdr:col>2</xdr:col>
      <xdr:colOff>336308</xdr:colOff>
      <xdr:row>22</xdr:row>
      <xdr:rowOff>99060</xdr:rowOff>
    </xdr:from>
    <xdr:to>
      <xdr:col>12</xdr:col>
      <xdr:colOff>295656</xdr:colOff>
      <xdr:row>24</xdr:row>
      <xdr:rowOff>4572</xdr:rowOff>
    </xdr:to>
    <xdr:grpSp>
      <xdr:nvGrpSpPr>
        <xdr:cNvPr id="4" name="Group 3"/>
        <xdr:cNvGrpSpPr/>
      </xdr:nvGrpSpPr>
      <xdr:grpSpPr>
        <a:xfrm>
          <a:off x="1517408" y="3975735"/>
          <a:ext cx="5864848" cy="286512"/>
          <a:chOff x="336308" y="4168140"/>
          <a:chExt cx="6055348" cy="271272"/>
        </a:xfrm>
      </xdr:grpSpPr>
      <xdr:sp macro="" textlink="">
        <xdr:nvSpPr>
          <xdr:cNvPr id="15" name="Rounded Rectangle 14">
            <a:hlinkClick xmlns:r="http://schemas.openxmlformats.org/officeDocument/2006/relationships" r:id="rId2"/>
          </xdr:cNvPr>
          <xdr:cNvSpPr/>
        </xdr:nvSpPr>
        <xdr:spPr>
          <a:xfrm>
            <a:off x="2560320" y="4168140"/>
            <a:ext cx="1651690" cy="259080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Manuscript w/Bleed</a:t>
            </a:r>
          </a:p>
        </xdr:txBody>
      </xdr:sp>
      <xdr:sp macro="" textlink="">
        <xdr:nvSpPr>
          <xdr:cNvPr id="16" name="Rounded Rectangle 15">
            <a:hlinkClick xmlns:r="http://schemas.openxmlformats.org/officeDocument/2006/relationships" r:id="rId3"/>
          </xdr:cNvPr>
          <xdr:cNvSpPr/>
        </xdr:nvSpPr>
        <xdr:spPr>
          <a:xfrm>
            <a:off x="336308" y="4183380"/>
            <a:ext cx="1649961" cy="2560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Manuscript w/No Bleed</a:t>
            </a:r>
          </a:p>
        </xdr:txBody>
      </xdr:sp>
      <xdr:sp macro="" textlink="">
        <xdr:nvSpPr>
          <xdr:cNvPr id="17" name="Rounded Rectangle 16">
            <a:hlinkClick xmlns:r="http://schemas.openxmlformats.org/officeDocument/2006/relationships" r:id="rId4"/>
          </xdr:cNvPr>
          <xdr:cNvSpPr/>
        </xdr:nvSpPr>
        <xdr:spPr>
          <a:xfrm>
            <a:off x="4741695" y="4175760"/>
            <a:ext cx="1649961" cy="2560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Cover</a:t>
            </a:r>
          </a:p>
        </xdr:txBody>
      </xdr:sp>
    </xdr:grpSp>
    <xdr:clientData/>
  </xdr:twoCellAnchor>
  <xdr:twoCellAnchor>
    <xdr:from>
      <xdr:col>6</xdr:col>
      <xdr:colOff>214906</xdr:colOff>
      <xdr:row>3</xdr:row>
      <xdr:rowOff>62753</xdr:rowOff>
    </xdr:from>
    <xdr:to>
      <xdr:col>12</xdr:col>
      <xdr:colOff>313765</xdr:colOff>
      <xdr:row>10</xdr:row>
      <xdr:rowOff>172218</xdr:rowOff>
    </xdr:to>
    <xdr:grpSp>
      <xdr:nvGrpSpPr>
        <xdr:cNvPr id="5127" name="Group 7"/>
        <xdr:cNvGrpSpPr>
          <a:grpSpLocks/>
        </xdr:cNvGrpSpPr>
      </xdr:nvGrpSpPr>
      <xdr:grpSpPr bwMode="auto">
        <a:xfrm>
          <a:off x="3758206" y="262778"/>
          <a:ext cx="3642159" cy="1442965"/>
          <a:chOff x="2416" y="-3108"/>
          <a:chExt cx="7299" cy="1966"/>
        </a:xfrm>
      </xdr:grpSpPr>
      <xdr:grpSp>
        <xdr:nvGrpSpPr>
          <xdr:cNvPr id="5128" name="Group 8"/>
          <xdr:cNvGrpSpPr>
            <a:grpSpLocks/>
          </xdr:cNvGrpSpPr>
        </xdr:nvGrpSpPr>
        <xdr:grpSpPr bwMode="auto">
          <a:xfrm>
            <a:off x="2416" y="-3108"/>
            <a:ext cx="7299" cy="1966"/>
            <a:chOff x="2416" y="-3108"/>
            <a:chExt cx="7299" cy="1966"/>
          </a:xfrm>
        </xdr:grpSpPr>
        <xdr:sp macro="" textlink="">
          <xdr:nvSpPr>
            <xdr:cNvPr id="5129" name="Freeform 9"/>
            <xdr:cNvSpPr>
              <a:spLocks/>
            </xdr:cNvSpPr>
          </xdr:nvSpPr>
          <xdr:spPr bwMode="auto">
            <a:xfrm>
              <a:off x="2416" y="-3108"/>
              <a:ext cx="7299" cy="1966"/>
            </a:xfrm>
            <a:custGeom>
              <a:avLst/>
              <a:gdLst>
                <a:gd name="T0" fmla="+- 0 2616 2526"/>
                <a:gd name="T1" fmla="*/ T0 w 7189"/>
                <a:gd name="T2" fmla="+- 0 -3009 -3009"/>
                <a:gd name="T3" fmla="*/ -3009 h 1867"/>
                <a:gd name="T4" fmla="+- 0 2555 2526"/>
                <a:gd name="T5" fmla="*/ T4 w 7189"/>
                <a:gd name="T6" fmla="+- 0 -3007 -3009"/>
                <a:gd name="T7" fmla="*/ -3007 h 1867"/>
                <a:gd name="T8" fmla="+- 0 2526 2526"/>
                <a:gd name="T9" fmla="*/ T8 w 7189"/>
                <a:gd name="T10" fmla="+- 0 -2934 -3009"/>
                <a:gd name="T11" fmla="*/ -2934 h 1867"/>
                <a:gd name="T12" fmla="+- 0 2526 2526"/>
                <a:gd name="T13" fmla="*/ T12 w 7189"/>
                <a:gd name="T14" fmla="+- 0 -1218 -3009"/>
                <a:gd name="T15" fmla="*/ -1218 h 1867"/>
                <a:gd name="T16" fmla="+- 0 2535 2526"/>
                <a:gd name="T17" fmla="*/ T16 w 7189"/>
                <a:gd name="T18" fmla="+- 0 -1156 -3009"/>
                <a:gd name="T19" fmla="*/ -1156 h 1867"/>
                <a:gd name="T20" fmla="+- 0 2601 2526"/>
                <a:gd name="T21" fmla="*/ T20 w 7189"/>
                <a:gd name="T22" fmla="+- 0 -1142 -3009"/>
                <a:gd name="T23" fmla="*/ -1142 h 1867"/>
                <a:gd name="T24" fmla="+- 0 9624 2526"/>
                <a:gd name="T25" fmla="*/ T24 w 7189"/>
                <a:gd name="T26" fmla="+- 0 -1142 -3009"/>
                <a:gd name="T27" fmla="*/ -1142 h 1867"/>
                <a:gd name="T28" fmla="+- 0 9661 2526"/>
                <a:gd name="T29" fmla="*/ T28 w 7189"/>
                <a:gd name="T30" fmla="+- 0 -1143 -3009"/>
                <a:gd name="T31" fmla="*/ -1143 h 1867"/>
                <a:gd name="T32" fmla="+- 0 9714 2526"/>
                <a:gd name="T33" fmla="*/ T32 w 7189"/>
                <a:gd name="T34" fmla="+- 0 -1186 -3009"/>
                <a:gd name="T35" fmla="*/ -1186 h 1867"/>
                <a:gd name="T36" fmla="+- 0 9714 2526"/>
                <a:gd name="T37" fmla="*/ T36 w 7189"/>
                <a:gd name="T38" fmla="+- 0 -1218 -3009"/>
                <a:gd name="T39" fmla="*/ -1218 h 1867"/>
                <a:gd name="T40" fmla="+- 0 9714 2526"/>
                <a:gd name="T41" fmla="*/ T40 w 7189"/>
                <a:gd name="T42" fmla="+- 0 -2934 -3009"/>
                <a:gd name="T43" fmla="*/ -2934 h 1867"/>
                <a:gd name="T44" fmla="+- 0 9705 2526"/>
                <a:gd name="T45" fmla="*/ T44 w 7189"/>
                <a:gd name="T46" fmla="+- 0 -2996 -3009"/>
                <a:gd name="T47" fmla="*/ -2996 h 1867"/>
                <a:gd name="T48" fmla="+- 0 9639 2526"/>
                <a:gd name="T49" fmla="*/ T48 w 7189"/>
                <a:gd name="T50" fmla="+- 0 -3009 -3009"/>
                <a:gd name="T51" fmla="*/ -3009 h 1867"/>
                <a:gd name="T52" fmla="+- 0 2616 2526"/>
                <a:gd name="T53" fmla="*/ T52 w 7189"/>
                <a:gd name="T54" fmla="+- 0 -3009 -3009"/>
                <a:gd name="T55" fmla="*/ -3009 h 1867"/>
              </a:gdLst>
              <a:ahLst/>
              <a:cxnLst>
                <a:cxn ang="0">
                  <a:pos x="T1" y="T3"/>
                </a:cxn>
                <a:cxn ang="0">
                  <a:pos x="T5" y="T7"/>
                </a:cxn>
                <a:cxn ang="0">
                  <a:pos x="T9" y="T11"/>
                </a:cxn>
                <a:cxn ang="0">
                  <a:pos x="T13" y="T15"/>
                </a:cxn>
                <a:cxn ang="0">
                  <a:pos x="T17" y="T19"/>
                </a:cxn>
                <a:cxn ang="0">
                  <a:pos x="T21" y="T23"/>
                </a:cxn>
                <a:cxn ang="0">
                  <a:pos x="T25" y="T27"/>
                </a:cxn>
                <a:cxn ang="0">
                  <a:pos x="T29" y="T31"/>
                </a:cxn>
                <a:cxn ang="0">
                  <a:pos x="T33" y="T35"/>
                </a:cxn>
                <a:cxn ang="0">
                  <a:pos x="T37" y="T39"/>
                </a:cxn>
                <a:cxn ang="0">
                  <a:pos x="T41" y="T43"/>
                </a:cxn>
                <a:cxn ang="0">
                  <a:pos x="T45" y="T47"/>
                </a:cxn>
                <a:cxn ang="0">
                  <a:pos x="T49" y="T51"/>
                </a:cxn>
                <a:cxn ang="0">
                  <a:pos x="T53" y="T55"/>
                </a:cxn>
              </a:cxnLst>
              <a:rect l="0" t="0" r="r" b="b"/>
              <a:pathLst>
                <a:path w="7189" h="1867">
                  <a:moveTo>
                    <a:pt x="90" y="0"/>
                  </a:moveTo>
                  <a:lnTo>
                    <a:pt x="29" y="2"/>
                  </a:lnTo>
                  <a:lnTo>
                    <a:pt x="0" y="75"/>
                  </a:lnTo>
                  <a:lnTo>
                    <a:pt x="0" y="1791"/>
                  </a:lnTo>
                  <a:lnTo>
                    <a:pt x="9" y="1853"/>
                  </a:lnTo>
                  <a:lnTo>
                    <a:pt x="75" y="1867"/>
                  </a:lnTo>
                  <a:lnTo>
                    <a:pt x="7098" y="1867"/>
                  </a:lnTo>
                  <a:lnTo>
                    <a:pt x="7135" y="1866"/>
                  </a:lnTo>
                  <a:lnTo>
                    <a:pt x="7188" y="1823"/>
                  </a:lnTo>
                  <a:lnTo>
                    <a:pt x="7188" y="1791"/>
                  </a:lnTo>
                  <a:lnTo>
                    <a:pt x="7188" y="75"/>
                  </a:lnTo>
                  <a:lnTo>
                    <a:pt x="7179" y="13"/>
                  </a:lnTo>
                  <a:lnTo>
                    <a:pt x="7113" y="0"/>
                  </a:lnTo>
                  <a:lnTo>
                    <a:pt x="90" y="0"/>
                  </a:lnTo>
                </a:path>
              </a:pathLst>
            </a:custGeom>
            <a:solidFill>
              <a:srgbClr val="E6E7E8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anchor="ctr"/>
            <a:lstStyle/>
            <a:p>
              <a:pPr algn="ctr"/>
              <a:endParaRPr lang="en-US" sz="1400" b="1"/>
            </a:p>
            <a:p>
              <a:pPr algn="ctr"/>
              <a:r>
                <a:rPr lang="en-US" sz="800" i="1">
                  <a:effectLst/>
                  <a:latin typeface="+mn-lt"/>
                  <a:ea typeface="+mn-ea"/>
                  <a:cs typeface="+mn-cs"/>
                </a:rPr>
                <a:t>The File Setup Calculator</a:t>
              </a:r>
              <a:r>
                <a:rPr lang="en-US" sz="800" i="1" baseline="0"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800" i="1">
                  <a:effectLst/>
                  <a:latin typeface="+mn-lt"/>
                  <a:ea typeface="+mn-ea"/>
                  <a:cs typeface="+mn-cs"/>
                </a:rPr>
                <a:t>can be used to get precise measurements for your interior and cover. This tool will provide margins (gutter), bleed and spine measurements</a:t>
              </a:r>
            </a:p>
            <a:p>
              <a:pPr algn="ctr"/>
              <a:endParaRPr lang="en-US" sz="800" b="1"/>
            </a:p>
            <a:p>
              <a:pPr algn="ctr"/>
              <a:r>
                <a:rPr lang="en-US" sz="1000" b="1"/>
                <a:t>Instructions:</a:t>
              </a:r>
              <a:endParaRPr lang="en-US" sz="1000" b="0"/>
            </a:p>
            <a:p>
              <a:pPr algn="l"/>
              <a:r>
                <a:rPr lang="en-US" sz="800"/>
                <a:t/>
              </a:r>
              <a:br>
                <a:rPr lang="en-US" sz="800"/>
              </a:br>
              <a:r>
                <a:rPr lang="en-US" sz="900"/>
                <a:t>1. Input your</a:t>
              </a:r>
              <a:r>
                <a:rPr lang="en-US" sz="900" baseline="0"/>
                <a:t> Ink &amp; Paper Choice, Trim Size and Number of pages below.</a:t>
              </a:r>
            </a:p>
            <a:p>
              <a:pPr algn="l"/>
              <a:endParaRPr lang="en-US" sz="900" baseline="0"/>
            </a:p>
            <a:p>
              <a:pPr algn="l"/>
              <a:r>
                <a:rPr lang="en-US" sz="900" baseline="0"/>
                <a:t>2. Click the button for the calculations relevant to the part of the book</a:t>
              </a:r>
              <a:r>
                <a:rPr lang="en-US" baseline="0"/>
                <a:t/>
              </a:r>
              <a:br>
                <a:rPr lang="en-US" baseline="0"/>
              </a:br>
              <a:endParaRPr lang="en-US"/>
            </a:p>
          </xdr:txBody>
        </xdr:sp>
      </xdr:grpSp>
      <xdr:grpSp>
        <xdr:nvGrpSpPr>
          <xdr:cNvPr id="5130" name="Group 10"/>
          <xdr:cNvGrpSpPr>
            <a:grpSpLocks/>
          </xdr:cNvGrpSpPr>
        </xdr:nvGrpSpPr>
        <xdr:grpSpPr bwMode="auto">
          <a:xfrm>
            <a:off x="2434" y="-3083"/>
            <a:ext cx="7281" cy="1941"/>
            <a:chOff x="2434" y="-3083"/>
            <a:chExt cx="7281" cy="1941"/>
          </a:xfrm>
        </xdr:grpSpPr>
        <xdr:sp macro="" textlink="">
          <xdr:nvSpPr>
            <xdr:cNvPr id="5131" name="Freeform 11"/>
            <xdr:cNvSpPr>
              <a:spLocks/>
            </xdr:cNvSpPr>
          </xdr:nvSpPr>
          <xdr:spPr bwMode="auto">
            <a:xfrm>
              <a:off x="2434" y="-3083"/>
              <a:ext cx="7281" cy="1941"/>
            </a:xfrm>
            <a:custGeom>
              <a:avLst/>
              <a:gdLst>
                <a:gd name="T0" fmla="+- 0 2616 2526"/>
                <a:gd name="T1" fmla="*/ T0 w 7189"/>
                <a:gd name="T2" fmla="+- 0 -3009 -3009"/>
                <a:gd name="T3" fmla="*/ -3009 h 1867"/>
                <a:gd name="T4" fmla="+- 0 2555 2526"/>
                <a:gd name="T5" fmla="*/ T4 w 7189"/>
                <a:gd name="T6" fmla="+- 0 -3007 -3009"/>
                <a:gd name="T7" fmla="*/ -3007 h 1867"/>
                <a:gd name="T8" fmla="+- 0 2526 2526"/>
                <a:gd name="T9" fmla="*/ T8 w 7189"/>
                <a:gd name="T10" fmla="+- 0 -2934 -3009"/>
                <a:gd name="T11" fmla="*/ -2934 h 1867"/>
                <a:gd name="T12" fmla="+- 0 2526 2526"/>
                <a:gd name="T13" fmla="*/ T12 w 7189"/>
                <a:gd name="T14" fmla="+- 0 -1232 -3009"/>
                <a:gd name="T15" fmla="*/ -1232 h 1867"/>
                <a:gd name="T16" fmla="+- 0 2526 2526"/>
                <a:gd name="T17" fmla="*/ T16 w 7189"/>
                <a:gd name="T18" fmla="+- 0 -1196 -3009"/>
                <a:gd name="T19" fmla="*/ -1196 h 1867"/>
                <a:gd name="T20" fmla="+- 0 2569 2526"/>
                <a:gd name="T21" fmla="*/ T20 w 7189"/>
                <a:gd name="T22" fmla="+- 0 -1143 -3009"/>
                <a:gd name="T23" fmla="*/ -1143 h 1867"/>
                <a:gd name="T24" fmla="+- 0 9624 2526"/>
                <a:gd name="T25" fmla="*/ T24 w 7189"/>
                <a:gd name="T26" fmla="+- 0 -1142 -3009"/>
                <a:gd name="T27" fmla="*/ -1142 h 1867"/>
                <a:gd name="T28" fmla="+- 0 9661 2526"/>
                <a:gd name="T29" fmla="*/ T28 w 7189"/>
                <a:gd name="T30" fmla="+- 0 -1143 -3009"/>
                <a:gd name="T31" fmla="*/ -1143 h 1867"/>
                <a:gd name="T32" fmla="+- 0 9714 2526"/>
                <a:gd name="T33" fmla="*/ T32 w 7189"/>
                <a:gd name="T34" fmla="+- 0 -1186 -3009"/>
                <a:gd name="T35" fmla="*/ -1186 h 1867"/>
                <a:gd name="T36" fmla="+- 0 9714 2526"/>
                <a:gd name="T37" fmla="*/ T36 w 7189"/>
                <a:gd name="T38" fmla="+- 0 -2919 -3009"/>
                <a:gd name="T39" fmla="*/ -2919 h 1867"/>
                <a:gd name="T40" fmla="+- 0 9714 2526"/>
                <a:gd name="T41" fmla="*/ T40 w 7189"/>
                <a:gd name="T42" fmla="+- 0 -2956 -3009"/>
                <a:gd name="T43" fmla="*/ -2956 h 1867"/>
                <a:gd name="T44" fmla="+- 0 9671 2526"/>
                <a:gd name="T45" fmla="*/ T44 w 7189"/>
                <a:gd name="T46" fmla="+- 0 -3009 -3009"/>
                <a:gd name="T47" fmla="*/ -3009 h 1867"/>
                <a:gd name="T48" fmla="+- 0 2616 2526"/>
                <a:gd name="T49" fmla="*/ T48 w 7189"/>
                <a:gd name="T50" fmla="+- 0 -3009 -3009"/>
                <a:gd name="T51" fmla="*/ -3009 h 1867"/>
              </a:gdLst>
              <a:ahLst/>
              <a:cxnLst>
                <a:cxn ang="0">
                  <a:pos x="T1" y="T3"/>
                </a:cxn>
                <a:cxn ang="0">
                  <a:pos x="T5" y="T7"/>
                </a:cxn>
                <a:cxn ang="0">
                  <a:pos x="T9" y="T11"/>
                </a:cxn>
                <a:cxn ang="0">
                  <a:pos x="T13" y="T15"/>
                </a:cxn>
                <a:cxn ang="0">
                  <a:pos x="T17" y="T19"/>
                </a:cxn>
                <a:cxn ang="0">
                  <a:pos x="T21" y="T23"/>
                </a:cxn>
                <a:cxn ang="0">
                  <a:pos x="T25" y="T27"/>
                </a:cxn>
                <a:cxn ang="0">
                  <a:pos x="T29" y="T31"/>
                </a:cxn>
                <a:cxn ang="0">
                  <a:pos x="T33" y="T35"/>
                </a:cxn>
                <a:cxn ang="0">
                  <a:pos x="T37" y="T39"/>
                </a:cxn>
                <a:cxn ang="0">
                  <a:pos x="T41" y="T43"/>
                </a:cxn>
                <a:cxn ang="0">
                  <a:pos x="T45" y="T47"/>
                </a:cxn>
                <a:cxn ang="0">
                  <a:pos x="T49" y="T51"/>
                </a:cxn>
              </a:cxnLst>
              <a:rect l="0" t="0" r="r" b="b"/>
              <a:pathLst>
                <a:path w="7189" h="1867">
                  <a:moveTo>
                    <a:pt x="90" y="0"/>
                  </a:moveTo>
                  <a:lnTo>
                    <a:pt x="29" y="2"/>
                  </a:lnTo>
                  <a:lnTo>
                    <a:pt x="0" y="75"/>
                  </a:lnTo>
                  <a:lnTo>
                    <a:pt x="0" y="1777"/>
                  </a:lnTo>
                  <a:lnTo>
                    <a:pt x="0" y="1813"/>
                  </a:lnTo>
                  <a:lnTo>
                    <a:pt x="43" y="1866"/>
                  </a:lnTo>
                  <a:lnTo>
                    <a:pt x="7098" y="1867"/>
                  </a:lnTo>
                  <a:lnTo>
                    <a:pt x="7135" y="1866"/>
                  </a:lnTo>
                  <a:lnTo>
                    <a:pt x="7188" y="1823"/>
                  </a:lnTo>
                  <a:lnTo>
                    <a:pt x="7188" y="90"/>
                  </a:lnTo>
                  <a:lnTo>
                    <a:pt x="7188" y="53"/>
                  </a:lnTo>
                  <a:lnTo>
                    <a:pt x="7145" y="0"/>
                  </a:lnTo>
                  <a:lnTo>
                    <a:pt x="90" y="0"/>
                  </a:lnTo>
                  <a:close/>
                </a:path>
              </a:pathLst>
            </a:custGeom>
            <a:noFill/>
            <a:ln w="6350">
              <a:solidFill>
                <a:srgbClr val="A7A9AC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</xdr:grpSp>
    <xdr:clientData/>
  </xdr:twoCellAnchor>
  <xdr:twoCellAnchor editAs="oneCell">
    <xdr:from>
      <xdr:col>13</xdr:col>
      <xdr:colOff>180974</xdr:colOff>
      <xdr:row>5</xdr:row>
      <xdr:rowOff>38100</xdr:rowOff>
    </xdr:from>
    <xdr:to>
      <xdr:col>32</xdr:col>
      <xdr:colOff>123824</xdr:colOff>
      <xdr:row>23</xdr:row>
      <xdr:rowOff>180975</xdr:rowOff>
    </xdr:to>
    <xdr:pic>
      <xdr:nvPicPr>
        <xdr:cNvPr id="21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4" y="619125"/>
          <a:ext cx="4562475" cy="3629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409176</xdr:colOff>
      <xdr:row>3</xdr:row>
      <xdr:rowOff>137161</xdr:rowOff>
    </xdr:from>
    <xdr:to>
      <xdr:col>13</xdr:col>
      <xdr:colOff>582775</xdr:colOff>
      <xdr:row>46</xdr:row>
      <xdr:rowOff>40542</xdr:rowOff>
    </xdr:to>
    <xdr:grpSp>
      <xdr:nvGrpSpPr>
        <xdr:cNvPr id="13" name="Group 12"/>
        <xdr:cNvGrpSpPr/>
      </xdr:nvGrpSpPr>
      <xdr:grpSpPr>
        <a:xfrm>
          <a:off x="409176" y="571501"/>
          <a:ext cx="7839319" cy="6128921"/>
          <a:chOff x="193232" y="-50290"/>
          <a:chExt cx="6693930" cy="5457771"/>
        </a:xfrm>
      </xdr:grpSpPr>
      <xdr:pic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3232" y="-50290"/>
            <a:ext cx="6693930" cy="5457771"/>
          </a:xfrm>
          <a:prstGeom prst="rect">
            <a:avLst/>
          </a:prstGeom>
        </xdr:spPr>
      </xdr:pic>
      <xdr:sp macro="" textlink="GutterFull">
        <xdr:nvSpPr>
          <xdr:cNvPr id="2" name="TextBox 1"/>
          <xdr:cNvSpPr txBox="1"/>
        </xdr:nvSpPr>
        <xdr:spPr>
          <a:xfrm>
            <a:off x="1991037" y="4585722"/>
            <a:ext cx="1027922" cy="7995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0">
            <a:spAutoFit/>
          </a:bodyPr>
          <a:lstStyle/>
          <a:p>
            <a:pPr algn="l"/>
            <a:fld id="{69A0FAE6-D881-4662-947D-C4C87501881B}" type="TxLink">
              <a:rPr lang="en-US" sz="6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0.625" (15.875 mm) Gutter Margin</a:t>
            </a:fld>
            <a:endParaRPr lang="en-US" sz="6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MSafeZoneW">
        <xdr:nvSpPr>
          <xdr:cNvPr id="4" name="TextBox 3"/>
          <xdr:cNvSpPr txBox="1"/>
        </xdr:nvSpPr>
        <xdr:spPr>
          <a:xfrm>
            <a:off x="3886732" y="5055827"/>
            <a:ext cx="1154526" cy="931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0">
            <a:spAutoFit/>
          </a:bodyPr>
          <a:lstStyle/>
          <a:p>
            <a:pPr algn="l"/>
            <a:fld id="{55038B42-8CDD-40F4-BA8B-629950FD7348}" type="TxLink">
              <a:rPr lang="en-US" sz="7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5.375" (13.6525 cm) Safe Zone</a:t>
            </a:fld>
            <a:endParaRPr lang="en-US" sz="7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MTrimW">
        <xdr:nvSpPr>
          <xdr:cNvPr id="6" name="TextBox 5"/>
          <xdr:cNvSpPr txBox="1"/>
        </xdr:nvSpPr>
        <xdr:spPr>
          <a:xfrm>
            <a:off x="3874704" y="5163065"/>
            <a:ext cx="1150231" cy="931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0">
            <a:spAutoFit/>
          </a:bodyPr>
          <a:lstStyle/>
          <a:p>
            <a:pPr algn="l"/>
            <a:fld id="{7FB16655-F87F-412B-B277-44A1594DA4F4}" type="TxLink">
              <a:rPr lang="en-US" sz="7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6" (15.24 cm) Trim Size</a:t>
            </a:fld>
            <a:endParaRPr lang="en-US" sz="7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MTrimBW">
        <xdr:nvSpPr>
          <xdr:cNvPr id="7" name="TextBox 6"/>
          <xdr:cNvSpPr txBox="1"/>
        </xdr:nvSpPr>
        <xdr:spPr>
          <a:xfrm>
            <a:off x="4019675" y="5261227"/>
            <a:ext cx="1372509" cy="931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0">
            <a:spAutoFit/>
          </a:bodyPr>
          <a:lstStyle/>
          <a:p>
            <a:pPr algn="l"/>
            <a:fld id="{1A4F6B2E-EBE1-456C-B501-C108A968B419}" type="TxLink">
              <a:rPr lang="en-US" sz="7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6.125" (15.5575 cm) Trim Size + Bleed</a:t>
            </a:fld>
            <a:endParaRPr lang="en-US" sz="7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MTrimH">
        <xdr:nvSpPr>
          <xdr:cNvPr id="8" name="TextBox 7"/>
          <xdr:cNvSpPr txBox="1"/>
        </xdr:nvSpPr>
        <xdr:spPr>
          <a:xfrm rot="5400000">
            <a:off x="6145474" y="1096136"/>
            <a:ext cx="1093213" cy="88150"/>
          </a:xfrm>
          <a:prstGeom prst="rect">
            <a:avLst/>
          </a:prstGeom>
          <a:solidFill>
            <a:schemeClr val="lt1">
              <a:alpha val="99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0">
            <a:spAutoFit/>
          </a:bodyPr>
          <a:lstStyle/>
          <a:p>
            <a:pPr algn="l"/>
            <a:fld id="{1D2ECD7D-BEEB-431F-8F57-4FB34ACBEA6F}" type="TxLink">
              <a:rPr lang="en-US" sz="7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9" (22.86 cm) Trim Size</a:t>
            </a:fld>
            <a:endParaRPr lang="en-US" sz="7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MSafeZoneH">
        <xdr:nvSpPr>
          <xdr:cNvPr id="9" name="TextBox 8"/>
          <xdr:cNvSpPr txBox="1"/>
        </xdr:nvSpPr>
        <xdr:spPr>
          <a:xfrm rot="5400000">
            <a:off x="6013371" y="1150441"/>
            <a:ext cx="1147453" cy="881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0">
            <a:spAutoFit/>
          </a:bodyPr>
          <a:lstStyle/>
          <a:p>
            <a:pPr algn="l"/>
            <a:fld id="{48F3B9A5-9FA2-435D-B294-D830EB3C2AE7}" type="TxLink">
              <a:rPr lang="en-US" sz="7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8.5" (21.59 cm) Safe Zone</a:t>
            </a:fld>
            <a:endParaRPr lang="en-US" sz="7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MTrimBH">
        <xdr:nvSpPr>
          <xdr:cNvPr id="10" name="TextBox 9"/>
          <xdr:cNvSpPr txBox="1"/>
        </xdr:nvSpPr>
        <xdr:spPr>
          <a:xfrm rot="5400000">
            <a:off x="6106417" y="1164042"/>
            <a:ext cx="1391675" cy="881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0">
            <a:spAutoFit/>
          </a:bodyPr>
          <a:lstStyle/>
          <a:p>
            <a:pPr algn="l"/>
            <a:fld id="{E2829752-FFF9-4A62-A092-1F93E24DE70F}" type="TxLink">
              <a:rPr lang="en-US" sz="7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9.25" (23.495 cm) Trim Size + Bleed</a:t>
            </a:fld>
            <a:endParaRPr lang="en-US" sz="7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InteriorBleedStatement">
        <xdr:nvSpPr>
          <xdr:cNvPr id="11" name="TextBox 10"/>
          <xdr:cNvSpPr txBox="1"/>
        </xdr:nvSpPr>
        <xdr:spPr>
          <a:xfrm>
            <a:off x="647700" y="5043885"/>
            <a:ext cx="2499360" cy="18121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294BDAD2-21C4-4C78-BC48-088E0F7DCFD8}" type="TxLink">
              <a:rPr lang="en-US" sz="6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6” x 9” (15.24 x 22.86 cm) Trim Size with Bleed Manuscript @ 333 Pages</a:t>
            </a:fld>
            <a:endParaRPr lang="en-US" sz="6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4</xdr:col>
      <xdr:colOff>448235</xdr:colOff>
      <xdr:row>2</xdr:row>
      <xdr:rowOff>8964</xdr:rowOff>
    </xdr:from>
    <xdr:to>
      <xdr:col>14</xdr:col>
      <xdr:colOff>273112</xdr:colOff>
      <xdr:row>3</xdr:row>
      <xdr:rowOff>136801</xdr:rowOff>
    </xdr:to>
    <xdr:grpSp>
      <xdr:nvGrpSpPr>
        <xdr:cNvPr id="21" name="Group 20"/>
        <xdr:cNvGrpSpPr/>
      </xdr:nvGrpSpPr>
      <xdr:grpSpPr>
        <a:xfrm>
          <a:off x="2886635" y="298524"/>
          <a:ext cx="6042797" cy="272617"/>
          <a:chOff x="5486400" y="6454588"/>
          <a:chExt cx="6055348" cy="271272"/>
        </a:xfrm>
      </xdr:grpSpPr>
      <xdr:sp macro="" textlink="">
        <xdr:nvSpPr>
          <xdr:cNvPr id="22" name="Rounded Rectangle 21">
            <a:hlinkClick xmlns:r="http://schemas.openxmlformats.org/officeDocument/2006/relationships" r:id="rId2"/>
          </xdr:cNvPr>
          <xdr:cNvSpPr/>
        </xdr:nvSpPr>
        <xdr:spPr>
          <a:xfrm>
            <a:off x="7710412" y="6454588"/>
            <a:ext cx="1651690" cy="259080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Cover</a:t>
            </a:r>
          </a:p>
        </xdr:txBody>
      </xdr:sp>
      <xdr:sp macro="" textlink="">
        <xdr:nvSpPr>
          <xdr:cNvPr id="23" name="Rounded Rectangle 22">
            <a:hlinkClick xmlns:r="http://schemas.openxmlformats.org/officeDocument/2006/relationships" r:id="rId3"/>
          </xdr:cNvPr>
          <xdr:cNvSpPr/>
        </xdr:nvSpPr>
        <xdr:spPr>
          <a:xfrm>
            <a:off x="5486400" y="6469828"/>
            <a:ext cx="1649961" cy="2560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Manuscript w/No Bleed</a:t>
            </a:r>
          </a:p>
        </xdr:txBody>
      </xdr:sp>
      <xdr:sp macro="" textlink="">
        <xdr:nvSpPr>
          <xdr:cNvPr id="24" name="Rounded Rectangle 23">
            <a:hlinkClick xmlns:r="http://schemas.openxmlformats.org/officeDocument/2006/relationships" r:id="rId4"/>
          </xdr:cNvPr>
          <xdr:cNvSpPr/>
        </xdr:nvSpPr>
        <xdr:spPr>
          <a:xfrm>
            <a:off x="9891787" y="6462208"/>
            <a:ext cx="1649961" cy="2560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Main</a:t>
            </a:r>
            <a:r>
              <a:rPr lang="en-US" sz="1100" b="1" baseline="0"/>
              <a:t> Menu</a:t>
            </a:r>
            <a:endParaRPr lang="en-US" sz="1100" b="1"/>
          </a:p>
        </xdr:txBody>
      </xdr:sp>
    </xdr:grpSp>
    <xdr:clientData/>
  </xdr:twoCellAnchor>
  <xdr:twoCellAnchor>
    <xdr:from>
      <xdr:col>3</xdr:col>
      <xdr:colOff>533400</xdr:colOff>
      <xdr:row>38</xdr:row>
      <xdr:rowOff>19050</xdr:rowOff>
    </xdr:from>
    <xdr:to>
      <xdr:col>5</xdr:col>
      <xdr:colOff>513913</xdr:colOff>
      <xdr:row>38</xdr:row>
      <xdr:rowOff>107640</xdr:rowOff>
    </xdr:to>
    <xdr:sp macro="" textlink="">
      <xdr:nvSpPr>
        <xdr:cNvPr id="16" name="TextBox 15"/>
        <xdr:cNvSpPr txBox="1"/>
      </xdr:nvSpPr>
      <xdr:spPr>
        <a:xfrm>
          <a:off x="2362200" y="5448300"/>
          <a:ext cx="1199713" cy="885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0">
          <a:noAutofit/>
        </a:bodyPr>
        <a:lstStyle/>
        <a:p>
          <a:pPr algn="l"/>
          <a:r>
            <a:rPr lang="en-US" sz="6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0.375"</a:t>
          </a:r>
          <a:r>
            <a:rPr lang="en-US" sz="6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(9.525 mm) Total</a:t>
          </a:r>
          <a:endParaRPr lang="en-US" sz="600" b="0" i="0" u="none" strike="noStrike">
            <a:solidFill>
              <a:srgbClr val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533400</xdr:colOff>
      <xdr:row>31</xdr:row>
      <xdr:rowOff>104775</xdr:rowOff>
    </xdr:from>
    <xdr:to>
      <xdr:col>5</xdr:col>
      <xdr:colOff>513913</xdr:colOff>
      <xdr:row>32</xdr:row>
      <xdr:rowOff>50490</xdr:rowOff>
    </xdr:to>
    <xdr:sp macro="" textlink="">
      <xdr:nvSpPr>
        <xdr:cNvPr id="17" name="TextBox 16"/>
        <xdr:cNvSpPr txBox="1"/>
      </xdr:nvSpPr>
      <xdr:spPr>
        <a:xfrm>
          <a:off x="2362200" y="4533900"/>
          <a:ext cx="1199713" cy="885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0">
          <a:noAutofit/>
        </a:bodyPr>
        <a:lstStyle/>
        <a:p>
          <a:pPr algn="l"/>
          <a:r>
            <a:rPr lang="en-US" sz="6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0.125"</a:t>
          </a:r>
          <a:r>
            <a:rPr lang="en-US" sz="6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(3.175 mm) Bleed</a:t>
          </a:r>
          <a:endParaRPr lang="en-US" sz="600" b="0" i="0" u="none" strike="noStrike">
            <a:solidFill>
              <a:srgbClr val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561975</xdr:colOff>
      <xdr:row>34</xdr:row>
      <xdr:rowOff>133350</xdr:rowOff>
    </xdr:from>
    <xdr:to>
      <xdr:col>5</xdr:col>
      <xdr:colOff>542488</xdr:colOff>
      <xdr:row>35</xdr:row>
      <xdr:rowOff>79065</xdr:rowOff>
    </xdr:to>
    <xdr:sp macro="" textlink="">
      <xdr:nvSpPr>
        <xdr:cNvPr id="18" name="TextBox 17"/>
        <xdr:cNvSpPr txBox="1"/>
      </xdr:nvSpPr>
      <xdr:spPr>
        <a:xfrm>
          <a:off x="2390775" y="4991100"/>
          <a:ext cx="1199713" cy="885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0">
          <a:noAutofit/>
        </a:bodyPr>
        <a:lstStyle/>
        <a:p>
          <a:pPr algn="l"/>
          <a:r>
            <a:rPr lang="en-US" sz="6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0.25" (6.35</a:t>
          </a:r>
          <a:r>
            <a:rPr lang="en-US" sz="6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mm) Outside Margin</a:t>
          </a:r>
          <a:endParaRPr lang="en-US" sz="600" b="0" i="0" u="none" strike="noStrike">
            <a:solidFill>
              <a:srgbClr val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364887</xdr:colOff>
      <xdr:row>4</xdr:row>
      <xdr:rowOff>15240</xdr:rowOff>
    </xdr:from>
    <xdr:to>
      <xdr:col>13</xdr:col>
      <xdr:colOff>316378</xdr:colOff>
      <xdr:row>45</xdr:row>
      <xdr:rowOff>83820</xdr:rowOff>
    </xdr:to>
    <xdr:grpSp>
      <xdr:nvGrpSpPr>
        <xdr:cNvPr id="11" name="Group 10"/>
        <xdr:cNvGrpSpPr/>
      </xdr:nvGrpSpPr>
      <xdr:grpSpPr>
        <a:xfrm>
          <a:off x="364887" y="586740"/>
          <a:ext cx="7752466" cy="5926455"/>
          <a:chOff x="210813" y="-11184"/>
          <a:chExt cx="6604195" cy="5324397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0813" y="-11184"/>
            <a:ext cx="6604195" cy="5324397"/>
          </a:xfrm>
          <a:prstGeom prst="rect">
            <a:avLst/>
          </a:prstGeom>
        </xdr:spPr>
      </xdr:pic>
      <xdr:sp macro="" textlink="GutterFull">
        <xdr:nvSpPr>
          <xdr:cNvPr id="3" name="TextBox 2"/>
          <xdr:cNvSpPr txBox="1"/>
        </xdr:nvSpPr>
        <xdr:spPr>
          <a:xfrm>
            <a:off x="1767568" y="4596304"/>
            <a:ext cx="1246716" cy="9153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0">
            <a:spAutoFit/>
          </a:bodyPr>
          <a:lstStyle/>
          <a:p>
            <a:pPr algn="l"/>
            <a:fld id="{1AFFE8FE-94C9-4C28-B79D-62F96F362AE2}" type="TxLink">
              <a:rPr lang="en-US" sz="7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0.625" (15.875 mm) Gutter Margin</a:t>
            </a:fld>
            <a:endParaRPr lang="en-US" sz="7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MSafeZoneW">
        <xdr:nvSpPr>
          <xdr:cNvPr id="4" name="TextBox 3"/>
          <xdr:cNvSpPr txBox="1"/>
        </xdr:nvSpPr>
        <xdr:spPr>
          <a:xfrm>
            <a:off x="3943363" y="5055684"/>
            <a:ext cx="1072380" cy="9153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0">
            <a:spAutoFit/>
          </a:bodyPr>
          <a:lstStyle/>
          <a:p>
            <a:pPr algn="l"/>
            <a:fld id="{95D141F7-23FD-4A28-A48E-88DB11BE8617}" type="TxLink">
              <a:rPr lang="en-US" sz="7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5.375" (13.6525 cm) Safe Zone</a:t>
            </a:fld>
            <a:endParaRPr lang="en-US" sz="7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MTrimW">
        <xdr:nvSpPr>
          <xdr:cNvPr id="5" name="TextBox 4"/>
          <xdr:cNvSpPr txBox="1"/>
        </xdr:nvSpPr>
        <xdr:spPr>
          <a:xfrm>
            <a:off x="3909060" y="5177062"/>
            <a:ext cx="1106683" cy="9153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>
            <a:spAutoFit/>
          </a:bodyPr>
          <a:lstStyle/>
          <a:p>
            <a:pPr algn="l"/>
            <a:fld id="{91708369-0A1F-43BD-BB00-E33EFEA3713F}" type="TxLink">
              <a:rPr lang="en-US" sz="7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6" (15.24 cm) Trim Size</a:t>
            </a:fld>
            <a:endParaRPr lang="en-US" sz="7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InteriorNoBleedStatement">
        <xdr:nvSpPr>
          <xdr:cNvPr id="7" name="TextBox 6"/>
          <xdr:cNvSpPr txBox="1"/>
        </xdr:nvSpPr>
        <xdr:spPr>
          <a:xfrm>
            <a:off x="716280" y="5209391"/>
            <a:ext cx="2263140" cy="6858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3B8E4989-5CD3-469B-87AD-2A9A42704FD9}" type="TxLink">
              <a:rPr lang="en-US" sz="6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/>
              <a:t>6” x 9” (15.24 x 22.86 cm) Trim Size Manuscript @ 333 Pages</a:t>
            </a:fld>
            <a:endParaRPr lang="en-US" sz="6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MTrimH">
        <xdr:nvSpPr>
          <xdr:cNvPr id="8" name="TextBox 7"/>
          <xdr:cNvSpPr txBox="1"/>
        </xdr:nvSpPr>
        <xdr:spPr>
          <a:xfrm rot="5400000">
            <a:off x="6249086" y="1093432"/>
            <a:ext cx="944052" cy="8783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t" anchorCtr="0">
            <a:spAutoFit/>
          </a:bodyPr>
          <a:lstStyle/>
          <a:p>
            <a:pPr algn="l"/>
            <a:fld id="{990C60C4-92BF-464C-BF0D-590D8F6902B1}" type="TxLink">
              <a:rPr lang="en-US" sz="7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9" (22.86 cm) Trim Size</a:t>
            </a:fld>
            <a:endParaRPr lang="en-US" sz="7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MSafeZoneH">
        <xdr:nvSpPr>
          <xdr:cNvPr id="9" name="TextBox 8"/>
          <xdr:cNvSpPr txBox="1"/>
        </xdr:nvSpPr>
        <xdr:spPr>
          <a:xfrm rot="5400000">
            <a:off x="6129416" y="1116294"/>
            <a:ext cx="975381" cy="8783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t" anchorCtr="0">
            <a:spAutoFit/>
          </a:bodyPr>
          <a:lstStyle/>
          <a:p>
            <a:pPr algn="l"/>
            <a:fld id="{D5C6698B-E6D6-4CA9-B0F7-4441F437A777}" type="TxLink">
              <a:rPr lang="en-US" sz="7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8.5" (21.59 cm) Safe Zone</a:t>
            </a:fld>
            <a:endParaRPr lang="en-US" sz="7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4</xdr:col>
      <xdr:colOff>514127</xdr:colOff>
      <xdr:row>2</xdr:row>
      <xdr:rowOff>14792</xdr:rowOff>
    </xdr:from>
    <xdr:to>
      <xdr:col>14</xdr:col>
      <xdr:colOff>590016</xdr:colOff>
      <xdr:row>3</xdr:row>
      <xdr:rowOff>143973</xdr:rowOff>
    </xdr:to>
    <xdr:grpSp>
      <xdr:nvGrpSpPr>
        <xdr:cNvPr id="6" name="Group 5"/>
        <xdr:cNvGrpSpPr/>
      </xdr:nvGrpSpPr>
      <xdr:grpSpPr>
        <a:xfrm>
          <a:off x="2952527" y="300542"/>
          <a:ext cx="6048064" cy="272056"/>
          <a:chOff x="5486400" y="6454588"/>
          <a:chExt cx="6055348" cy="271272"/>
        </a:xfrm>
      </xdr:grpSpPr>
      <xdr:sp macro="" textlink="">
        <xdr:nvSpPr>
          <xdr:cNvPr id="16" name="Rounded Rectangle 15">
            <a:hlinkClick xmlns:r="http://schemas.openxmlformats.org/officeDocument/2006/relationships" r:id="rId2"/>
          </xdr:cNvPr>
          <xdr:cNvSpPr/>
        </xdr:nvSpPr>
        <xdr:spPr>
          <a:xfrm>
            <a:off x="7710412" y="6454588"/>
            <a:ext cx="1651690" cy="259080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Cover</a:t>
            </a:r>
          </a:p>
        </xdr:txBody>
      </xdr:sp>
      <xdr:sp macro="" textlink="">
        <xdr:nvSpPr>
          <xdr:cNvPr id="17" name="Rounded Rectangle 16">
            <a:hlinkClick xmlns:r="http://schemas.openxmlformats.org/officeDocument/2006/relationships" r:id="rId3"/>
          </xdr:cNvPr>
          <xdr:cNvSpPr/>
        </xdr:nvSpPr>
        <xdr:spPr>
          <a:xfrm>
            <a:off x="5486400" y="6469828"/>
            <a:ext cx="1649961" cy="2560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Manuscript w/ Bleed</a:t>
            </a:r>
          </a:p>
        </xdr:txBody>
      </xdr:sp>
      <xdr:sp macro="" textlink="">
        <xdr:nvSpPr>
          <xdr:cNvPr id="18" name="Rounded Rectangle 17">
            <a:hlinkClick xmlns:r="http://schemas.openxmlformats.org/officeDocument/2006/relationships" r:id="rId4"/>
          </xdr:cNvPr>
          <xdr:cNvSpPr/>
        </xdr:nvSpPr>
        <xdr:spPr>
          <a:xfrm>
            <a:off x="9891787" y="6462208"/>
            <a:ext cx="1649961" cy="2560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Main</a:t>
            </a:r>
            <a:r>
              <a:rPr lang="en-US" sz="1100" b="1" baseline="0"/>
              <a:t> Menu</a:t>
            </a:r>
            <a:endParaRPr lang="en-US" sz="1100" b="1"/>
          </a:p>
        </xdr:txBody>
      </xdr:sp>
    </xdr:grpSp>
    <xdr:clientData/>
  </xdr:twoCellAnchor>
  <xdr:twoCellAnchor>
    <xdr:from>
      <xdr:col>3</xdr:col>
      <xdr:colOff>428625</xdr:colOff>
      <xdr:row>34</xdr:row>
      <xdr:rowOff>133350</xdr:rowOff>
    </xdr:from>
    <xdr:to>
      <xdr:col>6</xdr:col>
      <xdr:colOff>63307</xdr:colOff>
      <xdr:row>35</xdr:row>
      <xdr:rowOff>92365</xdr:rowOff>
    </xdr:to>
    <xdr:sp macro="" textlink="">
      <xdr:nvSpPr>
        <xdr:cNvPr id="14" name="TextBox 13"/>
        <xdr:cNvSpPr txBox="1"/>
      </xdr:nvSpPr>
      <xdr:spPr>
        <a:xfrm>
          <a:off x="2257425" y="4991100"/>
          <a:ext cx="1463482" cy="1018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0">
          <a:noAutofit/>
        </a:bodyPr>
        <a:lstStyle/>
        <a:p>
          <a:pPr algn="l"/>
          <a:r>
            <a:rPr lang="en-US" sz="7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0.25" (6.35 mm) Outside Margin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4</xdr:row>
      <xdr:rowOff>117473</xdr:rowOff>
    </xdr:from>
    <xdr:to>
      <xdr:col>12</xdr:col>
      <xdr:colOff>274318</xdr:colOff>
      <xdr:row>43</xdr:row>
      <xdr:rowOff>126366</xdr:rowOff>
    </xdr:to>
    <xdr:grpSp>
      <xdr:nvGrpSpPr>
        <xdr:cNvPr id="4" name="Group 3"/>
        <xdr:cNvGrpSpPr/>
      </xdr:nvGrpSpPr>
      <xdr:grpSpPr>
        <a:xfrm>
          <a:off x="1" y="680690"/>
          <a:ext cx="7629274" cy="5500263"/>
          <a:chOff x="1" y="37184"/>
          <a:chExt cx="6925068" cy="5095050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" y="37184"/>
            <a:ext cx="6925068" cy="5095050"/>
          </a:xfrm>
          <a:prstGeom prst="rect">
            <a:avLst/>
          </a:prstGeom>
        </xdr:spPr>
      </xdr:pic>
      <xdr:sp macro="" textlink="SpineWidthSize">
        <xdr:nvSpPr>
          <xdr:cNvPr id="3" name="TextBox 2"/>
          <xdr:cNvSpPr txBox="1"/>
        </xdr:nvSpPr>
        <xdr:spPr>
          <a:xfrm>
            <a:off x="1063791" y="1611666"/>
            <a:ext cx="1132233" cy="8190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0">
            <a:spAutoFit/>
          </a:bodyPr>
          <a:lstStyle/>
          <a:p>
            <a:pPr algn="l"/>
            <a:fld id="{13AFB286-B6A4-4F87-A175-FDADAB515690}" type="TxLink">
              <a:rPr lang="en-US" sz="6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0.8325" (21.1455 mm) Spine Width</a:t>
            </a:fld>
            <a:endParaRPr lang="en-US" sz="6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SpineTextSize">
        <xdr:nvSpPr>
          <xdr:cNvPr id="7" name="TextBox 6"/>
          <xdr:cNvSpPr txBox="1"/>
        </xdr:nvSpPr>
        <xdr:spPr>
          <a:xfrm>
            <a:off x="952545" y="1812049"/>
            <a:ext cx="1247560" cy="8190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0">
            <a:spAutoFit/>
          </a:bodyPr>
          <a:lstStyle/>
          <a:p>
            <a:pPr algn="l"/>
            <a:fld id="{0CA56B29-EB25-415A-9FD5-BF9AE6FB847B}" type="TxLink">
              <a:rPr lang="en-US" sz="6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0.7075" (17.9705 mm) Spine Text Width</a:t>
            </a:fld>
            <a:endParaRPr lang="en-US" sz="6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CoverSafeZoneW">
        <xdr:nvSpPr>
          <xdr:cNvPr id="8" name="TextBox 7"/>
          <xdr:cNvSpPr txBox="1"/>
        </xdr:nvSpPr>
        <xdr:spPr>
          <a:xfrm>
            <a:off x="3863774" y="4823805"/>
            <a:ext cx="1195906" cy="8190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0">
            <a:spAutoFit/>
          </a:bodyPr>
          <a:lstStyle/>
          <a:p>
            <a:pPr algn="l"/>
            <a:fld id="{BCD8B05C-1558-44C4-80F8-B1908F81C956}" type="TxLink">
              <a:rPr lang="en-US" sz="6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12.5825" (31.95955 cm) Safe Zone</a:t>
            </a:fld>
            <a:endParaRPr lang="en-US" sz="6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MTrimW">
        <xdr:nvSpPr>
          <xdr:cNvPr id="9" name="TextBox 8"/>
          <xdr:cNvSpPr txBox="1"/>
        </xdr:nvSpPr>
        <xdr:spPr>
          <a:xfrm>
            <a:off x="3767897" y="4930140"/>
            <a:ext cx="828035" cy="8190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t" anchorCtr="0">
            <a:spAutoFit/>
          </a:bodyPr>
          <a:lstStyle/>
          <a:p>
            <a:pPr algn="l"/>
            <a:fld id="{F5BDC80D-EA3A-47F7-98F3-44BB75471B84}" type="TxLink">
              <a:rPr lang="en-US" sz="6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6" (15.24 cm) Trim Size</a:t>
            </a:fld>
            <a:endParaRPr lang="en-US" sz="6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CoverWidth">
        <xdr:nvSpPr>
          <xdr:cNvPr id="10" name="TextBox 9"/>
          <xdr:cNvSpPr txBox="1"/>
        </xdr:nvSpPr>
        <xdr:spPr>
          <a:xfrm>
            <a:off x="3837992" y="5021580"/>
            <a:ext cx="1159392" cy="8190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0">
            <a:spAutoFit/>
          </a:bodyPr>
          <a:lstStyle/>
          <a:p>
            <a:pPr algn="l"/>
            <a:fld id="{4A128BA2-8EEC-4B4D-85E1-1E3BB7FCCACD}" type="TxLink">
              <a:rPr lang="en-US" sz="6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13.0825" (33.22955 cm) Cover Width</a:t>
            </a:fld>
            <a:endParaRPr lang="en-US" sz="6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MTrimH">
        <xdr:nvSpPr>
          <xdr:cNvPr id="11" name="TextBox 10"/>
          <xdr:cNvSpPr txBox="1"/>
        </xdr:nvSpPr>
        <xdr:spPr>
          <a:xfrm rot="5400000">
            <a:off x="6261996" y="1046332"/>
            <a:ext cx="998337" cy="8068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0">
            <a:spAutoFit/>
          </a:bodyPr>
          <a:lstStyle/>
          <a:p>
            <a:pPr algn="l"/>
            <a:fld id="{358D4165-2858-4133-AC93-DBEA35618E9E}" type="TxLink">
              <a:rPr lang="en-US" sz="6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9" (22.86 cm) Trim Size</a:t>
            </a:fld>
            <a:endParaRPr lang="en-US" sz="6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CoverSafeZoneH">
        <xdr:nvSpPr>
          <xdr:cNvPr id="12" name="TextBox 11"/>
          <xdr:cNvSpPr txBox="1"/>
        </xdr:nvSpPr>
        <xdr:spPr>
          <a:xfrm rot="5400000">
            <a:off x="6150492" y="1066958"/>
            <a:ext cx="998274" cy="8068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0">
            <a:spAutoFit/>
          </a:bodyPr>
          <a:lstStyle/>
          <a:p>
            <a:pPr algn="l"/>
            <a:fld id="{7BEF8954-A3A3-4015-A9DA-4CB69102BE53}" type="TxLink">
              <a:rPr lang="en-US" sz="6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8.75" (22.225 cm) Safe Zone</a:t>
            </a:fld>
            <a:endParaRPr lang="en-US" sz="6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CoverHeight">
        <xdr:nvSpPr>
          <xdr:cNvPr id="13" name="TextBox 12"/>
          <xdr:cNvSpPr txBox="1"/>
        </xdr:nvSpPr>
        <xdr:spPr>
          <a:xfrm rot="5400000">
            <a:off x="6348737" y="1028644"/>
            <a:ext cx="1061163" cy="8068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0">
            <a:spAutoFit/>
          </a:bodyPr>
          <a:lstStyle/>
          <a:p>
            <a:pPr algn="l"/>
            <a:fld id="{622A9C29-4989-4BFD-BB90-54BF073AA4DB}" type="TxLink">
              <a:rPr lang="en-US" sz="600" b="0" i="0" u="none" strike="noStrike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9.25" (23.495 cm) Cover Height</a:t>
            </a:fld>
            <a:endParaRPr lang="en-US" sz="6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4</xdr:col>
      <xdr:colOff>190500</xdr:colOff>
      <xdr:row>1</xdr:row>
      <xdr:rowOff>38100</xdr:rowOff>
    </xdr:from>
    <xdr:to>
      <xdr:col>14</xdr:col>
      <xdr:colOff>149848</xdr:colOff>
      <xdr:row>3</xdr:row>
      <xdr:rowOff>19812</xdr:rowOff>
    </xdr:to>
    <xdr:grpSp>
      <xdr:nvGrpSpPr>
        <xdr:cNvPr id="29" name="Group 28"/>
        <xdr:cNvGrpSpPr/>
      </xdr:nvGrpSpPr>
      <xdr:grpSpPr>
        <a:xfrm>
          <a:off x="2642152" y="178904"/>
          <a:ext cx="6088479" cy="263321"/>
          <a:chOff x="336308" y="4168140"/>
          <a:chExt cx="6055348" cy="271272"/>
        </a:xfrm>
      </xdr:grpSpPr>
      <xdr:sp macro="" textlink="">
        <xdr:nvSpPr>
          <xdr:cNvPr id="30" name="Rounded Rectangle 29">
            <a:hlinkClick xmlns:r="http://schemas.openxmlformats.org/officeDocument/2006/relationships" r:id="rId2"/>
          </xdr:cNvPr>
          <xdr:cNvSpPr/>
        </xdr:nvSpPr>
        <xdr:spPr>
          <a:xfrm>
            <a:off x="2560320" y="4168140"/>
            <a:ext cx="1651690" cy="259080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Manuscript w/Bleed</a:t>
            </a:r>
          </a:p>
        </xdr:txBody>
      </xdr:sp>
      <xdr:sp macro="" textlink="">
        <xdr:nvSpPr>
          <xdr:cNvPr id="31" name="Rounded Rectangle 30">
            <a:hlinkClick xmlns:r="http://schemas.openxmlformats.org/officeDocument/2006/relationships" r:id="rId3"/>
          </xdr:cNvPr>
          <xdr:cNvSpPr/>
        </xdr:nvSpPr>
        <xdr:spPr>
          <a:xfrm>
            <a:off x="336308" y="4183380"/>
            <a:ext cx="1649961" cy="2560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Manuscript w/No Bleed</a:t>
            </a:r>
          </a:p>
        </xdr:txBody>
      </xdr:sp>
      <xdr:sp macro="" textlink="">
        <xdr:nvSpPr>
          <xdr:cNvPr id="32" name="Rounded Rectangle 31">
            <a:hlinkClick xmlns:r="http://schemas.openxmlformats.org/officeDocument/2006/relationships" r:id="rId4"/>
          </xdr:cNvPr>
          <xdr:cNvSpPr/>
        </xdr:nvSpPr>
        <xdr:spPr>
          <a:xfrm>
            <a:off x="4741695" y="4175760"/>
            <a:ext cx="1649961" cy="2560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Main Menu</a:t>
            </a:r>
          </a:p>
        </xdr:txBody>
      </xdr:sp>
    </xdr:grpSp>
    <xdr:clientData/>
  </xdr:twoCellAnchor>
  <xdr:oneCellAnchor>
    <xdr:from>
      <xdr:col>1</xdr:col>
      <xdr:colOff>91440</xdr:colOff>
      <xdr:row>43</xdr:row>
      <xdr:rowOff>83820</xdr:rowOff>
    </xdr:from>
    <xdr:ext cx="2834640" cy="121920"/>
    <xdr:sp macro="" textlink="CoverStatement">
      <xdr:nvSpPr>
        <xdr:cNvPr id="5" name="TextBox 4"/>
        <xdr:cNvSpPr txBox="1"/>
      </xdr:nvSpPr>
      <xdr:spPr>
        <a:xfrm>
          <a:off x="701040" y="6309360"/>
          <a:ext cx="2834640" cy="12192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0">
          <a:spAutoFit/>
        </a:bodyPr>
        <a:lstStyle/>
        <a:p>
          <a:pPr algn="l"/>
          <a:fld id="{F534172E-8C18-4239-81AD-E064B8DE142A}" type="TxLink">
            <a:rPr lang="en-US" sz="8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6” x 9” (15.24 x 22.86 cm) Trim Size @ 333 Pages</a:t>
          </a:fld>
          <a:endParaRPr lang="en-US" sz="800" b="0" i="0" u="none" strike="noStrike">
            <a:solidFill>
              <a:srgbClr val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3</xdr:col>
      <xdr:colOff>33131</xdr:colOff>
      <xdr:row>27</xdr:row>
      <xdr:rowOff>74544</xdr:rowOff>
    </xdr:from>
    <xdr:to>
      <xdr:col>5</xdr:col>
      <xdr:colOff>181729</xdr:colOff>
      <xdr:row>28</xdr:row>
      <xdr:rowOff>19737</xdr:rowOff>
    </xdr:to>
    <xdr:sp macro="" textlink="">
      <xdr:nvSpPr>
        <xdr:cNvPr id="18" name="TextBox 17"/>
        <xdr:cNvSpPr txBox="1"/>
      </xdr:nvSpPr>
      <xdr:spPr>
        <a:xfrm>
          <a:off x="1871870" y="3876261"/>
          <a:ext cx="1374424" cy="8599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0">
          <a:noAutofit/>
        </a:bodyPr>
        <a:lstStyle/>
        <a:p>
          <a:pPr algn="l"/>
          <a:r>
            <a:rPr lang="en-US" sz="6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0.125" (3.175 mm) Bleed</a:t>
          </a:r>
        </a:p>
      </xdr:txBody>
    </xdr:sp>
    <xdr:clientData/>
  </xdr:twoCellAnchor>
  <xdr:twoCellAnchor>
    <xdr:from>
      <xdr:col>3</xdr:col>
      <xdr:colOff>33131</xdr:colOff>
      <xdr:row>30</xdr:row>
      <xdr:rowOff>57978</xdr:rowOff>
    </xdr:from>
    <xdr:to>
      <xdr:col>5</xdr:col>
      <xdr:colOff>181729</xdr:colOff>
      <xdr:row>31</xdr:row>
      <xdr:rowOff>3171</xdr:rowOff>
    </xdr:to>
    <xdr:sp macro="" textlink="">
      <xdr:nvSpPr>
        <xdr:cNvPr id="19" name="TextBox 18"/>
        <xdr:cNvSpPr txBox="1"/>
      </xdr:nvSpPr>
      <xdr:spPr>
        <a:xfrm>
          <a:off x="1871870" y="4282108"/>
          <a:ext cx="1374424" cy="8599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0">
          <a:noAutofit/>
        </a:bodyPr>
        <a:lstStyle/>
        <a:p>
          <a:pPr algn="l"/>
          <a:r>
            <a:rPr lang="en-US" sz="6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0.125" (3.175 mm)</a:t>
          </a:r>
          <a:r>
            <a:rPr lang="en-US" sz="6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Trim Variance</a:t>
          </a:r>
          <a:endParaRPr lang="en-US" sz="600" b="0" i="0" u="none" strike="noStrike">
            <a:solidFill>
              <a:srgbClr val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49696</xdr:colOff>
      <xdr:row>33</xdr:row>
      <xdr:rowOff>66261</xdr:rowOff>
    </xdr:from>
    <xdr:to>
      <xdr:col>5</xdr:col>
      <xdr:colOff>198294</xdr:colOff>
      <xdr:row>34</xdr:row>
      <xdr:rowOff>11454</xdr:rowOff>
    </xdr:to>
    <xdr:sp macro="" textlink="">
      <xdr:nvSpPr>
        <xdr:cNvPr id="20" name="TextBox 19"/>
        <xdr:cNvSpPr txBox="1"/>
      </xdr:nvSpPr>
      <xdr:spPr>
        <a:xfrm>
          <a:off x="1888435" y="4712804"/>
          <a:ext cx="1374424" cy="8599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0">
          <a:noAutofit/>
        </a:bodyPr>
        <a:lstStyle/>
        <a:p>
          <a:pPr algn="l"/>
          <a:r>
            <a:rPr lang="en-US" sz="6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0.25"</a:t>
          </a:r>
          <a:r>
            <a:rPr lang="en-US" sz="6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(6.35 mm) Outside Margin</a:t>
          </a:r>
          <a:endParaRPr lang="en-US" sz="600" b="0" i="0" u="none" strike="noStrike">
            <a:solidFill>
              <a:srgbClr val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273326</xdr:colOff>
      <xdr:row>38</xdr:row>
      <xdr:rowOff>107673</xdr:rowOff>
    </xdr:from>
    <xdr:to>
      <xdr:col>9</xdr:col>
      <xdr:colOff>421924</xdr:colOff>
      <xdr:row>39</xdr:row>
      <xdr:rowOff>52866</xdr:rowOff>
    </xdr:to>
    <xdr:sp macro="" textlink="">
      <xdr:nvSpPr>
        <xdr:cNvPr id="22" name="TextBox 21"/>
        <xdr:cNvSpPr txBox="1"/>
      </xdr:nvSpPr>
      <xdr:spPr>
        <a:xfrm>
          <a:off x="4563717" y="5458238"/>
          <a:ext cx="1374424" cy="8599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0">
          <a:noAutofit/>
        </a:bodyPr>
        <a:lstStyle/>
        <a:p>
          <a:pPr algn="l"/>
          <a:r>
            <a:rPr lang="en-US" sz="6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0.25"</a:t>
          </a:r>
          <a:r>
            <a:rPr lang="en-US" sz="6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(6.35 mm)</a:t>
          </a:r>
          <a:endParaRPr lang="en-US" sz="600" b="0" i="0" u="none" strike="noStrike">
            <a:solidFill>
              <a:srgbClr val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414131</xdr:colOff>
      <xdr:row>19</xdr:row>
      <xdr:rowOff>140803</xdr:rowOff>
    </xdr:from>
    <xdr:to>
      <xdr:col>3</xdr:col>
      <xdr:colOff>562729</xdr:colOff>
      <xdr:row>20</xdr:row>
      <xdr:rowOff>85997</xdr:rowOff>
    </xdr:to>
    <xdr:sp macro="" textlink="">
      <xdr:nvSpPr>
        <xdr:cNvPr id="23" name="TextBox 22"/>
        <xdr:cNvSpPr txBox="1"/>
      </xdr:nvSpPr>
      <xdr:spPr>
        <a:xfrm>
          <a:off x="1027044" y="2816086"/>
          <a:ext cx="1374424" cy="8599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0">
          <a:noAutofit/>
        </a:bodyPr>
        <a:lstStyle/>
        <a:p>
          <a:pPr algn="l"/>
          <a:r>
            <a:rPr lang="en-US" sz="6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0.0625" (1.588</a:t>
          </a:r>
          <a:r>
            <a:rPr lang="en-US" sz="6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mm) Spine Margin</a:t>
          </a:r>
          <a:endParaRPr lang="en-US" sz="600" b="0" i="0" u="none" strike="noStrike">
            <a:solidFill>
              <a:srgbClr val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219470</xdr:colOff>
      <xdr:row>28</xdr:row>
      <xdr:rowOff>48779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925070" cy="516941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LU_InkPaper" displayName="LU_InkPaper" ref="G1:L4" totalsRowShown="0">
  <autoFilter ref="G1:L4"/>
  <tableColumns count="6">
    <tableColumn id="1" name="Official Ink &amp; Color Text">
      <calculatedColumnFormula>LU_InkPaper[[#This Row],[Ink]]&amp;" &amp; "&amp;LU_InkPaper[[#This Row],[Paper]]</calculatedColumnFormula>
    </tableColumn>
    <tableColumn id="2" name="Ink"/>
    <tableColumn id="3" name="Paper"/>
    <tableColumn id="4" name="Page thickness (Inches)"/>
    <tableColumn id="5" name="Page Thickness (mm)" dataDxfId="55">
      <calculatedColumnFormula>ROUND(J2*mm,5)</calculatedColumnFormula>
    </tableColumn>
    <tableColumn id="6" name="Page Thickness (cm)" dataDxfId="54">
      <calculatedColumnFormula>ROUND(LU_InkPaper[[#This Row],[Page thickness (Inches)]]*cm, 5)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LU_TrimSizes" displayName="LU_TrimSizes" ref="Y2:BQ18" totalsRowShown="0">
  <autoFilter ref="Y2:BQ18"/>
  <tableColumns count="45">
    <tableColumn id="1" name="List_TrimSize" dataDxfId="53"/>
    <tableColumn id="2" name="Trim Width (in)"/>
    <tableColumn id="3" name="Trim Height (in)"/>
    <tableColumn id="4" name="Trim Size (in)"/>
    <tableColumn id="5" name="Trim Width (cm)" dataDxfId="52"/>
    <tableColumn id="6" name="Trim Height (cm)" dataDxfId="51"/>
    <tableColumn id="7" name="Trim Size (cm)"/>
    <tableColumn id="8" name="Full Trim Size">
      <calculatedColumnFormula>AB3&amp;" "&amp;AE3</calculatedColumnFormula>
    </tableColumn>
    <tableColumn id="17" name="Manuscript Trim W" dataDxfId="50">
      <calculatedColumnFormula>LU_TrimSizes[[#This Row],[Trim Width (in)]]&amp;""" ("&amp;LU_TrimSizes[[#This Row],[Trim Width (cm)]]&amp;" cm)"</calculatedColumnFormula>
    </tableColumn>
    <tableColumn id="16" name="Manuscript Trim H" dataDxfId="49">
      <calculatedColumnFormula>LU_TrimSizes[[#This Row],[Trim Height (in)]]&amp;""" ("&amp;LU_TrimSizes[[#This Row],[Trim Height (cm)]]&amp;" cm)"</calculatedColumnFormula>
    </tableColumn>
    <tableColumn id="9" name="Trim W Bleed (in)" dataDxfId="48">
      <calculatedColumnFormula>ROUND(LU_TrimSizes[[#This Row],[Trim Width (in)]]+0.125, 5)&amp;""""</calculatedColumnFormula>
    </tableColumn>
    <tableColumn id="10" name="Trim H Bleed (in)" dataDxfId="47">
      <calculatedColumnFormula>ROUND(LU_TrimSizes[[#This Row],[Trim Height (in)]]+0.25, 5)&amp;""""</calculatedColumnFormula>
    </tableColumn>
    <tableColumn id="19" name="Manuscript Trim Bleed W" dataDxfId="46">
      <calculatedColumnFormula>LU_TrimSizes[[#This Row],[Trim W Bleed (in)]]&amp;" ("&amp;LU_TrimSizes[[#This Row],[Trim W Bleed (cm)]]&amp;")"</calculatedColumnFormula>
    </tableColumn>
    <tableColumn id="18" name="Manuscript Trim Bleed H" dataDxfId="45">
      <calculatedColumnFormula>LU_TrimSizes[[#This Row],[Trim H Bleed (in)]]&amp;" ("&amp;LU_TrimSizes[[#This Row],[Trim H Bleed (cm)]]&amp;")"</calculatedColumnFormula>
    </tableColumn>
    <tableColumn id="11" name="Trim W Bleed (cm)" dataDxfId="44">
      <calculatedColumnFormula>ROUND(LU_TrimSizes[[#This Row],[Trim Width (in)]]*cm+blcmw, 5)&amp;" cm"</calculatedColumnFormula>
    </tableColumn>
    <tableColumn id="12" name="Trim H Bleed (cm)" dataDxfId="43">
      <calculatedColumnFormula>ROUND(LU_TrimSizes[[#This Row],[Trim Height (in)]]*cm+blcmh, 5)&amp;" cm"</calculatedColumnFormula>
    </tableColumn>
    <tableColumn id="13" name="Full Trim Bleed (in)" dataDxfId="42">
      <calculatedColumnFormula>LU_TrimSizes[[#This Row],[Trim W Bleed (in)]]&amp;" x "&amp;LU_TrimSizes[[#This Row],[Trim H Bleed (in)]]</calculatedColumnFormula>
    </tableColumn>
    <tableColumn id="14" name="Full Trim Bleed (cm)" dataDxfId="41">
      <calculatedColumnFormula>LU_TrimSizes[[#This Row],[Trim W Bleed (cm)]]&amp;" x "&amp;LU_TrimSizes[[#This Row],[Trim H Bleed (cm)]]</calculatedColumnFormula>
    </tableColumn>
    <tableColumn id="15" name="Manuscript Safe Zone W in" dataDxfId="40">
      <calculatedColumnFormula>ROUND(LU_TrimSizes[[#This Row],[Trim Width (in)]]-GutterINmath-MarginOinMath, 5)</calculatedColumnFormula>
    </tableColumn>
    <tableColumn id="20" name="Manuscript Safe Zone W cm" dataDxfId="39">
      <calculatedColumnFormula>ROUND(LU_TrimSizes[[#This Row],[Trim Width (cm)]]-GutterCMmath-MarginOcmMath, 5)</calculatedColumnFormula>
    </tableColumn>
    <tableColumn id="21" name="Manuscript Safe Zone W" dataDxfId="38">
      <calculatedColumnFormula>LU_TrimSizes[[#This Row],[Manuscript Safe Zone W in]]&amp;""" ("&amp;LU_TrimSizes[[#This Row],[Manuscript Safe Zone W cm]]&amp;" cm)"</calculatedColumnFormula>
    </tableColumn>
    <tableColumn id="22" name="Manuscript Safe Zone H in" dataDxfId="37">
      <calculatedColumnFormula>ROUND(LU_TrimSizes[[#This Row],[Trim Height (in)]]-MarginOinMath-MarginOinMath, 5)</calculatedColumnFormula>
    </tableColumn>
    <tableColumn id="23" name="Manuscript Safe Zone H (cm)" dataDxfId="36">
      <calculatedColumnFormula>ROUND(LU_TrimSizes[[#This Row],[Trim Height (cm)]]-MarginOcmMath-MarginOcmMath, 5)</calculatedColumnFormula>
    </tableColumn>
    <tableColumn id="24" name="Manuscript Safe Zone H" dataDxfId="35">
      <calculatedColumnFormula>LU_TrimSizes[[#This Row],[Manuscript Safe Zone H in]]&amp;""" ("&amp;LU_TrimSizes[[#This Row],[Manuscript Safe Zone H (cm)]]&amp;" cm)"</calculatedColumnFormula>
    </tableColumn>
    <tableColumn id="25" name="Manuscript Safe Zone IN" dataDxfId="34">
      <calculatedColumnFormula>LU_TrimSizes[[#This Row],[Manuscript Safe Zone W in]]&amp;""" x "&amp;LU_TrimSizes[[#This Row],[Manuscript Safe Zone H in]]&amp;""""</calculatedColumnFormula>
    </tableColumn>
    <tableColumn id="26" name="Manuscript Safe Zone (cm)" dataDxfId="33">
      <calculatedColumnFormula>LU_TrimSizes[[#This Row],[Manuscript Safe Zone W cm]]&amp;" cm x "&amp;LU_TrimSizes[[#This Row],[Manuscript Safe Zone H (cm)]]&amp;" cm"</calculatedColumnFormula>
    </tableColumn>
    <tableColumn id="27" name="Cover W In" dataDxfId="32">
      <calculatedColumnFormula>ROUND(CBleedLin+LU_TrimSizes[[#This Row],[Trim Width (in)]]+SpineWidthInMath+LU_TrimSizes[[#This Row],[Trim Width (in)]]+CBleedRIn, 5)</calculatedColumnFormula>
    </tableColumn>
    <tableColumn id="28" name="Cover W (cm)" dataDxfId="31">
      <calculatedColumnFormula>ROUND(LU_TrimSizes[[#This Row],[Trim Width (cm)]]+CBleedLcm+SpineWidthCmMath+CBleedRcm+LU_TrimSizes[[#This Row],[Trim Width (cm)]], 5)</calculatedColumnFormula>
    </tableColumn>
    <tableColumn id="29" name="Cover Width" dataDxfId="30">
      <calculatedColumnFormula>LU_TrimSizes[[#This Row],[Cover W In]]&amp;""" ("&amp;LU_TrimSizes[[#This Row],[Cover W (cm)]]&amp;" cm)"</calculatedColumnFormula>
    </tableColumn>
    <tableColumn id="30" name="Cover Height In" dataDxfId="29">
      <calculatedColumnFormula>ROUND(CBleedTIn+LU_TrimSizes[[#This Row],[Trim Height (in)]]+CBleedBIn, 5)</calculatedColumnFormula>
    </tableColumn>
    <tableColumn id="31" name="Cover Height CM" dataDxfId="28">
      <calculatedColumnFormula>ROUND(CBleedTcm+LU_TrimSizes[[#This Row],[Trim Height (cm)]]+CBleedBcm, 5)</calculatedColumnFormula>
    </tableColumn>
    <tableColumn id="32" name="Cover Height" dataDxfId="27">
      <calculatedColumnFormula>LU_TrimSizes[[#This Row],[Cover Height In]]&amp;""" ("&amp;LU_TrimSizes[[#This Row],[Cover Height CM]]&amp;" cm)"</calculatedColumnFormula>
    </tableColumn>
    <tableColumn id="33" name="Cover Size In" dataDxfId="26">
      <calculatedColumnFormula>LU_TrimSizes[[#This Row],[Cover W In]]&amp;""" x "&amp;LU_TrimSizes[[#This Row],[Cover Height In]]&amp;""""</calculatedColumnFormula>
    </tableColumn>
    <tableColumn id="34" name="Cover Size CM" dataDxfId="25">
      <calculatedColumnFormula>LU_TrimSizes[[#This Row],[Cover W (cm)]]&amp;" cm x "&amp;LU_TrimSizes[[#This Row],[Cover Height CM]]&amp;" cm"</calculatedColumnFormula>
    </tableColumn>
    <tableColumn id="35" name="Cover Safe Zone W (in)" dataDxfId="24">
      <calculatedColumnFormula>ROUND(LU_TrimSizes[[#This Row],[Cover W In]]-0.5, 5)</calculatedColumnFormula>
    </tableColumn>
    <tableColumn id="36" name="Cover Safe Zone W cm" dataDxfId="23">
      <calculatedColumnFormula>ROUND(LU_TrimSizes[[#This Row],[Cover W (cm)]]-1.27, 5)</calculatedColumnFormula>
    </tableColumn>
    <tableColumn id="37" name="Cover Safe Zone W" dataDxfId="22">
      <calculatedColumnFormula>LU_TrimSizes[[#This Row],[Cover Safe Zone W (in)]]&amp;""" ("&amp;LU_TrimSizes[[#This Row],[Cover Safe Zone W cm]]&amp;" cm)"</calculatedColumnFormula>
    </tableColumn>
    <tableColumn id="38" name="Cover Safe Zone H" dataDxfId="21">
      <calculatedColumnFormula>LU_TrimSizes[[#This Row],[Cover Safe Zone H in]]&amp;""" ("&amp;LU_TrimSizes[[#This Row],[Cover Safe Zone H cm]]&amp;" cm)"</calculatedColumnFormula>
    </tableColumn>
    <tableColumn id="39" name="Cover Safe Zone H in" dataDxfId="20">
      <calculatedColumnFormula>ROUND(LU_TrimSizes[[#This Row],[Cover Height In]]-0.5, 5)</calculatedColumnFormula>
    </tableColumn>
    <tableColumn id="40" name="Cover Safe Zone H cm" dataDxfId="19">
      <calculatedColumnFormula>ROUND(LU_TrimSizes[[#This Row],[Cover Height CM]]-1.27, 5)</calculatedColumnFormula>
    </tableColumn>
    <tableColumn id="41" name="Cover Safe Zone IN" dataDxfId="18">
      <calculatedColumnFormula>LU_TrimSizes[[#This Row],[Cover Safe Zone W (in)]]&amp;""" x "&amp;LU_TrimSizes[[#This Row],[Cover Safe Zone H in]]&amp;""""</calculatedColumnFormula>
    </tableColumn>
    <tableColumn id="42" name="Cover Safe Zone CM" dataDxfId="17">
      <calculatedColumnFormula>LU_TrimSizes[[#This Row],[Cover Safe Zone W cm]]&amp;" cm x "&amp;LU_TrimSizes[[#This Row],[Cover Safe Zone H cm]]&amp;" cm"</calculatedColumnFormula>
    </tableColumn>
    <tableColumn id="43" name="Black Ink &amp; Cream Paper" dataDxfId="16"/>
    <tableColumn id="44" name="Black Ink &amp; White Paper" dataDxfId="15"/>
    <tableColumn id="45" name="Color Ink &amp; White Paper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LU_Margins" displayName="LU_Margins" ref="R1:W806" totalsRowShown="0">
  <autoFilter ref="R1:W806"/>
  <tableColumns count="6">
    <tableColumn id="1" name="PageCount"/>
    <tableColumn id="2" name="Inside (Gutter Margin)"/>
    <tableColumn id="3" name="Outside Margin - No Bleed"/>
    <tableColumn id="4" name="Outside margin - Bleed"/>
    <tableColumn id="5" name="Gutter (mm)">
      <calculatedColumnFormula>ROUND(S2*mm, 5)</calculatedColumnFormula>
    </tableColumn>
    <tableColumn id="6" name="Gutter Full 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LU_CoverBleed" displayName="LU_CoverBleed" ref="G7:J11" totalsRowShown="0" headerRowDxfId="13">
  <autoFilter ref="G7:J11"/>
  <tableColumns count="4">
    <tableColumn id="1" name="Cover Bleed Area" dataDxfId="12"/>
    <tableColumn id="2" name="Cover Bleed (In)"/>
    <tableColumn id="3" name="Cover Bleed (mm)" dataDxfId="11">
      <calculatedColumnFormula>ROUND(LU_CoverBleed[[#This Row],[Cover Bleed (In)]]*mm, 5)</calculatedColumnFormula>
    </tableColumn>
    <tableColumn id="4" name="Cover Bleed (cm)" dataDxfId="10">
      <calculatedColumnFormula>ROUND(LU_CoverBleed[[#This Row],[Cover Bleed (In)]]*cm, 5)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LU_SpineMargin" displayName="LU_SpineMargin" ref="G14:J16" totalsRowShown="0" headerRowDxfId="9">
  <autoFilter ref="G14:J16"/>
  <tableColumns count="4">
    <tableColumn id="1" name="Spine Margin" dataDxfId="8"/>
    <tableColumn id="2" name="Spine Margin (in)"/>
    <tableColumn id="3" name="Spine Margin (mm)" dataDxfId="7">
      <calculatedColumnFormula>ROUND(LU_SpineMargin[[#This Row],[Spine Margin (in)]]*mm, 5)</calculatedColumnFormula>
    </tableColumn>
    <tableColumn id="4" name="Spine Margin (cm)" dataDxfId="6">
      <calculatedColumnFormula>ROUND(LU_SpineMargin[[#This Row],[Spine Margin (in)]]*cm,5 )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MaxPages" displayName="Tbl_MaxPages" ref="Y24:AB40" totalsRowShown="0" headerRowDxfId="5">
  <tableColumns count="4">
    <tableColumn id="1" name="Trim Size" dataDxfId="4"/>
    <tableColumn id="2" name="Black Ink &amp; White Paper" dataDxfId="3"/>
    <tableColumn id="3" name="Black Ink &amp; Cream Paper" dataDxfId="2"/>
    <tableColumn id="4" name="Color Ink &amp; White Paper" dataDxfId="1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9" name="Table710" displayName="Table710" ref="A1:F8" totalsRowShown="0">
  <autoFilter ref="A1:F8"/>
  <tableColumns count="6">
    <tableColumn id="1" name="Version"/>
    <tableColumn id="2" name="Date" dataDxfId="0"/>
    <tableColumn id="3" name="TT/SIM" dataCellStyle="Hyperlink"/>
    <tableColumn id="4" name="Updates Made"/>
    <tableColumn id="5" name="Completed File Name"/>
    <tableColumn id="6" name="Link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noFill/>
        </a:ln>
      </a:spPr>
      <a:bodyPr vertOverflow="clip" horzOverflow="clip" wrap="none" lIns="0" tIns="0" rIns="0" bIns="0" rtlCol="0" anchor="t" anchorCtr="0">
        <a:spAutoFit/>
      </a:bodyPr>
      <a:lstStyle>
        <a:defPPr>
          <a:defRPr sz="600" b="0" i="0" u="none" strike="noStrike">
            <a:solidFill>
              <a:srgbClr val="000000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issues.amazon.com/UPLPLC-171" TargetMode="External"/><Relationship Id="rId3" Type="http://schemas.openxmlformats.org/officeDocument/2006/relationships/hyperlink" Target="https://portal.ant.amazon.com/sites/techservices/_layouts/xlviewer.aspx?id=/sites/techservices/Shared%20Documents/Submission%20Spec%20Calculators/KDP%20Print_File%20Setup%20Calculator_V2.xlsm&amp;Source=https%3A%2F%2Fportal%2Eant%2Eamazon%2Ecom%2Fsites%2Ftechservices%2FShared%2520Documents%2FForms%2FAllItems%2Easpx%3FRootFolder%3D%252Fsites%252Ftechservices%252FShared%2520Documents%252FSubmission%2520Spec%2520Calculators%26FolderCTID%3D0x0120004C753D851970C249B4334263EA973AF6%26View%3D%7BDA1C117F%2D6136%2D4517%2D93F2%2D5A85C329A415%7D%26InitialTabId%3DRibbon%252EDocument%26VisibilityContext%3DWSSTabPersistence&amp;DefaultItemOpen=1&amp;DefaultItemOpen=1" TargetMode="External"/><Relationship Id="rId7" Type="http://schemas.openxmlformats.org/officeDocument/2006/relationships/hyperlink" Target="https://issues.amazon.com/TS-OH-98" TargetMode="External"/><Relationship Id="rId12" Type="http://schemas.openxmlformats.org/officeDocument/2006/relationships/table" Target="../tables/table7.xml"/><Relationship Id="rId2" Type="http://schemas.openxmlformats.org/officeDocument/2006/relationships/hyperlink" Target="https://issues.amazon.com/TS-OH-98" TargetMode="External"/><Relationship Id="rId1" Type="http://schemas.openxmlformats.org/officeDocument/2006/relationships/hyperlink" Target="https://portal.ant.amazon.com/sites/techservices/Shared%20Documents/Submission%20Spec%20Calculators/KDP%20Print_File%20Setup%20Calculator.xlsm" TargetMode="External"/><Relationship Id="rId6" Type="http://schemas.openxmlformats.org/officeDocument/2006/relationships/hyperlink" Target="https://portal.ant.amazon.com/sites/techservices/Shared%20Documents/Submission%20Spec%20Calculators/KDP%20Print_File%20Setup%20Calculator_V3.xlsm" TargetMode="External"/><Relationship Id="rId11" Type="http://schemas.openxmlformats.org/officeDocument/2006/relationships/hyperlink" Target="https://maxis-file-service-prod-iad.iad.proxy.amazon.com/issues/7a58785c-733c-4984-afa1-661ee759580b/attachments/b2ad8812eaece3310dff12c8b13913712c24644c473d97e8c6276312366be12d_91a31dff-0efc-4afb-aa23-8e6effb99e25" TargetMode="External"/><Relationship Id="rId5" Type="http://schemas.openxmlformats.org/officeDocument/2006/relationships/hyperlink" Target="https://portal.ant.amazon.com/sites/techservices/_layouts/xlviewer.aspx?id=/sites/techservices/Shared%20Documents/Submission%20Spec%20Calculators/KDP%20Print_File%20Setup%20Calculator_V2.xlsm&amp;Source=https%3A%2F%2Fportal%2Eant%2Eamazon%2Ecom%2Fsites%2Ftechservices%2FShared%2520Documents%2FForms%2FAllItems%2Easpx%3FRootFolder%3D%252Fsites%252Ftechservices%252FShared%2520Documents%252FSubmission%2520Spec%2520Calculators%26FolderCTID%3D0x0120004C753D851970C249B4334263EA973AF6%26View%3D%7BDA1C117F%2D6136%2D4517%2D93F2%2D5A85C329A415%7D%26InitialTabId%3DRibbon%252EDocument%26VisibilityContext%3DWSSTabPersistence&amp;DefaultItemOpen=1&amp;DefaultItemOpen=1" TargetMode="External"/><Relationship Id="rId10" Type="http://schemas.openxmlformats.org/officeDocument/2006/relationships/hyperlink" Target="https://portal.ant.amazon.com/sites/techservices/Shared%20Documents/Submission%20Spec%20Calculators/KDP_Print_File_Setup_Calculator_V4.xlsm" TargetMode="External"/><Relationship Id="rId4" Type="http://schemas.openxmlformats.org/officeDocument/2006/relationships/hyperlink" Target="https://issues.amazon.com/PubEd-124" TargetMode="External"/><Relationship Id="rId9" Type="http://schemas.openxmlformats.org/officeDocument/2006/relationships/hyperlink" Target="https://issues.amazon.com/issues/GPS-134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A1:BO65"/>
  <sheetViews>
    <sheetView showGridLines="0" showRowColHeaders="0" tabSelected="1" topLeftCell="B3" zoomScaleNormal="100" zoomScaleSheetLayoutView="125" workbookViewId="0">
      <selection activeCell="I19" sqref="I19"/>
    </sheetView>
  </sheetViews>
  <sheetFormatPr defaultColWidth="8.85546875" defaultRowHeight="15"/>
  <cols>
    <col min="14" max="15" width="8.85546875" customWidth="1"/>
    <col min="16" max="16" width="51.5703125" customWidth="1"/>
    <col min="17" max="17" width="21.140625" hidden="1" customWidth="1"/>
    <col min="18" max="18" width="20.85546875" hidden="1" customWidth="1"/>
    <col min="19" max="19" width="21.140625" hidden="1" customWidth="1"/>
    <col min="20" max="20" width="15.140625" hidden="1" customWidth="1"/>
    <col min="21" max="21" width="55.140625" hidden="1" customWidth="1"/>
    <col min="22" max="32" width="8.85546875" hidden="1" customWidth="1"/>
    <col min="33" max="47" width="8.85546875" customWidth="1"/>
  </cols>
  <sheetData>
    <row r="1" spans="1:67" hidden="1"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</row>
    <row r="2" spans="1:67" hidden="1"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 t="s">
        <v>37</v>
      </c>
      <c r="R2" s="24" t="s">
        <v>154</v>
      </c>
      <c r="S2" s="24" t="s">
        <v>38</v>
      </c>
      <c r="T2" s="24" t="s">
        <v>19</v>
      </c>
      <c r="U2" s="24" t="s">
        <v>167</v>
      </c>
      <c r="V2" s="24" t="s">
        <v>168</v>
      </c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</row>
    <row r="3" spans="1:67" ht="15.75" thickBot="1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 t="str">
        <f>InkPaperChoice</f>
        <v>Black Ink &amp; Cream Paper</v>
      </c>
      <c r="R3" s="24" t="str">
        <f>TrimSizeChoice</f>
        <v>6” x 9” (15.24 x 22.86 cm)</v>
      </c>
      <c r="S3" s="24">
        <f>PageCountChoice</f>
        <v>333</v>
      </c>
      <c r="T3" s="24" t="str">
        <f>VLOOKUP(S3, LU_Margins[#All], 6, FALSE)&amp;" Gutter Margin"</f>
        <v>0.625" (15.875 mm) Gutter Margin</v>
      </c>
      <c r="U3" s="24" t="str">
        <f>TrimSizeChoice&amp;" Trim Size with Bleed Manuscript @ "&amp;PageCountChoice&amp;" Pages"</f>
        <v>6” x 9” (15.24 x 22.86 cm) Trim Size with Bleed Manuscript @ 333 Pages</v>
      </c>
      <c r="V3" s="24" t="str">
        <f>TrimSizeChoice&amp;" Trim Size Manuscript @ "&amp;PageCountChoice&amp;" Pages"</f>
        <v>6” x 9” (15.24 x 22.86 cm) Trim Size Manuscript @ 333 Pages</v>
      </c>
      <c r="W3" s="24"/>
      <c r="X3" s="24" t="str">
        <f>TrimSizeChoice&amp;" Trim Size @ "&amp;PageCountChoice&amp;" Pages"</f>
        <v>6” x 9” (15.24 x 22.86 cm) Trim Size @ 333 Pages</v>
      </c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</row>
    <row r="4" spans="1:67">
      <c r="A4" s="24"/>
      <c r="B4" s="24"/>
      <c r="C4" s="15"/>
      <c r="D4" s="16"/>
      <c r="E4" s="16"/>
      <c r="F4" s="16"/>
      <c r="G4" s="16"/>
      <c r="H4" s="16"/>
      <c r="I4" s="16"/>
      <c r="J4" s="16"/>
      <c r="K4" s="16"/>
      <c r="L4" s="16"/>
      <c r="M4" s="17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</row>
    <row r="5" spans="1:67">
      <c r="A5" s="24"/>
      <c r="B5" s="24"/>
      <c r="C5" s="18"/>
      <c r="D5" s="19"/>
      <c r="E5" s="19"/>
      <c r="F5" s="19"/>
      <c r="G5" s="19"/>
      <c r="H5" s="19"/>
      <c r="I5" s="19"/>
      <c r="J5" s="19"/>
      <c r="K5" s="19"/>
      <c r="L5" s="19"/>
      <c r="M5" s="20"/>
      <c r="N5" s="50" t="s">
        <v>242</v>
      </c>
      <c r="O5" s="51"/>
      <c r="P5" s="51"/>
      <c r="Q5" t="s">
        <v>169</v>
      </c>
      <c r="R5" t="s">
        <v>170</v>
      </c>
      <c r="S5" t="s">
        <v>171</v>
      </c>
      <c r="T5" t="s">
        <v>172</v>
      </c>
      <c r="U5" t="s">
        <v>181</v>
      </c>
      <c r="V5" t="s">
        <v>182</v>
      </c>
      <c r="W5" t="s">
        <v>189</v>
      </c>
      <c r="X5" t="s">
        <v>190</v>
      </c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</row>
    <row r="6" spans="1:67">
      <c r="A6" s="24"/>
      <c r="B6" s="24"/>
      <c r="C6" s="18"/>
      <c r="D6" s="19"/>
      <c r="E6" s="19"/>
      <c r="F6" s="19"/>
      <c r="G6" s="19"/>
      <c r="H6" s="19"/>
      <c r="I6" s="19"/>
      <c r="J6" s="19"/>
      <c r="K6" s="19"/>
      <c r="L6" s="19"/>
      <c r="M6" s="20"/>
      <c r="Q6" t="str">
        <f>VLOOKUP(R3, LU_TrimSizes[], 9, FALSE)&amp;" Trim Size"</f>
        <v>6" (15.24 cm) Trim Size</v>
      </c>
      <c r="R6" t="str">
        <f>VLOOKUP(R3, LU_TrimSizes[], 10, FALSE)&amp;" Trim Size"</f>
        <v>9" (22.86 cm) Trim Size</v>
      </c>
      <c r="S6" t="str">
        <f>VLOOKUP(R3, LU_TrimSizes[], 4, FALSE)</f>
        <v>6" x 9"</v>
      </c>
      <c r="T6" t="str">
        <f>VLOOKUP(R3, LU_TrimSizes[], 7, FALSE)</f>
        <v>(15.24 x 22.86 cm)</v>
      </c>
      <c r="U6" t="str">
        <f>VLOOKUP(S3, LU_Margins[#All], 4, FALSE)&amp;""""</f>
        <v>0.375"</v>
      </c>
      <c r="V6" t="str">
        <f>VLOOKUP(S3, LU_Margins[#All], 5, FALSE)&amp;" mm"</f>
        <v>15.875 mm</v>
      </c>
      <c r="W6">
        <v>0.25</v>
      </c>
      <c r="X6">
        <f>W6*cm</f>
        <v>0.63500000000000001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</row>
    <row r="7" spans="1:67">
      <c r="A7" s="24"/>
      <c r="B7" s="24"/>
      <c r="C7" s="18"/>
      <c r="D7" s="19"/>
      <c r="E7" s="19"/>
      <c r="F7" s="19"/>
      <c r="G7" s="19"/>
      <c r="H7" s="19"/>
      <c r="I7" s="19"/>
      <c r="J7" s="19"/>
      <c r="K7" s="19"/>
      <c r="L7" s="19"/>
      <c r="M7" s="20"/>
      <c r="U7">
        <f>VLOOKUP(S3, LU_Margins[#All], 4, FALSE)</f>
        <v>0.375</v>
      </c>
      <c r="V7">
        <f>GutterINmath*cm</f>
        <v>0.95250000000000001</v>
      </c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</row>
    <row r="8" spans="1:67">
      <c r="A8" s="24"/>
      <c r="B8" s="24"/>
      <c r="C8" s="18"/>
      <c r="D8" s="19"/>
      <c r="E8" s="19"/>
      <c r="F8" s="19"/>
      <c r="G8" s="19"/>
      <c r="H8" s="19"/>
      <c r="I8" s="19"/>
      <c r="J8" s="19"/>
      <c r="K8" s="19"/>
      <c r="L8" s="19"/>
      <c r="M8" s="20"/>
      <c r="Q8" t="s">
        <v>177</v>
      </c>
      <c r="R8" t="s">
        <v>178</v>
      </c>
      <c r="S8" t="s">
        <v>179</v>
      </c>
      <c r="T8" t="s">
        <v>180</v>
      </c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</row>
    <row r="9" spans="1:67">
      <c r="A9" s="24"/>
      <c r="B9" s="24"/>
      <c r="C9" s="18"/>
      <c r="D9" s="19"/>
      <c r="E9" s="19"/>
      <c r="F9" s="19"/>
      <c r="G9" s="19"/>
      <c r="H9" s="19"/>
      <c r="I9" s="19"/>
      <c r="J9" s="19"/>
      <c r="K9" s="19"/>
      <c r="L9" s="19"/>
      <c r="M9" s="20"/>
      <c r="Q9" t="str">
        <f>VLOOKUP(R3, LU_TrimSizes[], 13, FALSE)&amp;" Trim Size + Bleed"</f>
        <v>6.125" (15.5575 cm) Trim Size + Bleed</v>
      </c>
      <c r="R9" t="str">
        <f>VLOOKUP($R$3, LU_TrimSizes[], 14, FALSE)&amp;" Trim Size + Bleed"</f>
        <v>9.25" (23.495 cm) Trim Size + Bleed</v>
      </c>
      <c r="S9" t="str">
        <f>VLOOKUP($R$3, LU_TrimSizes[], 17, FALSE)</f>
        <v>6.125" x 9.25"</v>
      </c>
      <c r="T9" t="str">
        <f>VLOOKUP($R$3, LU_TrimSizes[], 18, FALSE)</f>
        <v>15.5575 cm x 23.495 cm</v>
      </c>
      <c r="V9" t="s">
        <v>241</v>
      </c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</row>
    <row r="10" spans="1:67">
      <c r="A10" s="24"/>
      <c r="B10" s="24"/>
      <c r="C10" s="18"/>
      <c r="D10" s="19"/>
      <c r="E10" s="19"/>
      <c r="F10" s="19"/>
      <c r="G10" s="19"/>
      <c r="H10" s="19"/>
      <c r="I10" s="19"/>
      <c r="J10" s="19"/>
      <c r="K10" s="19"/>
      <c r="L10" s="19"/>
      <c r="M10" s="20"/>
      <c r="V10">
        <f>INDEX(Rng_IndexPgMax, MATCH(TrimSizeChoice, List_TrimSize, 0), MATCH(InkPaperChoice, InkPaperMax, 0))</f>
        <v>776</v>
      </c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</row>
    <row r="11" spans="1:67">
      <c r="A11" s="24"/>
      <c r="B11" s="24"/>
      <c r="C11" s="18"/>
      <c r="D11" s="19"/>
      <c r="E11" s="19"/>
      <c r="F11" s="19"/>
      <c r="G11" s="19"/>
      <c r="H11" s="19"/>
      <c r="I11" s="19"/>
      <c r="J11" s="19"/>
      <c r="K11" s="19"/>
      <c r="L11" s="19"/>
      <c r="M11" s="20"/>
      <c r="Q11" t="s">
        <v>183</v>
      </c>
      <c r="R11" t="s">
        <v>184</v>
      </c>
      <c r="S11" t="s">
        <v>185</v>
      </c>
      <c r="T11" t="s">
        <v>186</v>
      </c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</row>
    <row r="12" spans="1:67" ht="15.75" thickBot="1">
      <c r="A12" s="24"/>
      <c r="B12" s="24"/>
      <c r="C12" s="18"/>
      <c r="D12" s="19"/>
      <c r="E12" s="19"/>
      <c r="F12" s="19"/>
      <c r="G12" s="19"/>
      <c r="H12" s="19"/>
      <c r="I12" s="19"/>
      <c r="J12" s="19"/>
      <c r="K12" s="19"/>
      <c r="L12" s="19"/>
      <c r="M12" s="20"/>
      <c r="Q12" t="str">
        <f>VLOOKUP(TrimSizeChoice, LU_TrimSizes[], 21, FALSE)&amp;" Safe Zone"</f>
        <v>5.375" (13.6525 cm) Safe Zone</v>
      </c>
      <c r="R12" t="str">
        <f>VLOOKUP(TrimSizeChoice, LU_TrimSizes[], 24, FALSE)&amp;" Safe Zone"</f>
        <v>8.5" (21.59 cm) Safe Zone</v>
      </c>
      <c r="S12" t="str">
        <f>VLOOKUP(TrimSizeChoice, LU_TrimSizes[], 25, FALSE)</f>
        <v>5.375" x 8.5"</v>
      </c>
      <c r="T12" t="str">
        <f>VLOOKUP(TrimSizeChoice, LU_TrimSizes[], 26, FALSE)</f>
        <v>13.6525 cm x 21.59 cm</v>
      </c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</row>
    <row r="13" spans="1:67" ht="15.75" thickBot="1">
      <c r="A13" s="24"/>
      <c r="B13" s="24"/>
      <c r="C13" s="18"/>
      <c r="D13" s="19"/>
      <c r="E13" s="19"/>
      <c r="F13" s="19"/>
      <c r="G13" s="19"/>
      <c r="H13" s="19"/>
      <c r="I13" s="47" t="s">
        <v>238</v>
      </c>
      <c r="J13" s="48"/>
      <c r="K13" s="48"/>
      <c r="L13" s="49"/>
      <c r="M13" s="20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</row>
    <row r="14" spans="1:67">
      <c r="A14" s="24"/>
      <c r="B14" s="24"/>
      <c r="C14" s="18"/>
      <c r="D14" s="19"/>
      <c r="E14" s="19"/>
      <c r="F14" s="19"/>
      <c r="G14" s="19"/>
      <c r="H14" s="19"/>
      <c r="I14" s="19"/>
      <c r="J14" s="19"/>
      <c r="K14" s="19"/>
      <c r="L14" s="19"/>
      <c r="M14" s="20"/>
      <c r="Q14" t="s">
        <v>197</v>
      </c>
      <c r="R14" t="s">
        <v>198</v>
      </c>
      <c r="S14" t="s">
        <v>199</v>
      </c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</row>
    <row r="15" spans="1:67" ht="15.75" thickBot="1">
      <c r="A15" s="24"/>
      <c r="B15" s="24"/>
      <c r="C15" s="18"/>
      <c r="D15" s="19"/>
      <c r="E15" s="19"/>
      <c r="F15" s="19"/>
      <c r="G15" s="19"/>
      <c r="H15" s="19"/>
      <c r="I15" s="19"/>
      <c r="J15" s="19"/>
      <c r="K15" s="19"/>
      <c r="L15" s="19"/>
      <c r="M15" s="20"/>
      <c r="Q15">
        <f>VLOOKUP(InkPaperChoice, LU_InkPaper[], 4, FALSE)</f>
        <v>2.5000000000000001E-3</v>
      </c>
      <c r="R15">
        <f>VLOOKUP(InkPaperChoice, LU_InkPaper[], 5, FALSE)</f>
        <v>6.3500000000000001E-2</v>
      </c>
      <c r="S15">
        <f>VLOOKUP(InkPaperChoice, LU_InkPaper[], 6, FALSE)</f>
        <v>6.3499999999999997E-3</v>
      </c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</row>
    <row r="16" spans="1:67" ht="15.75" thickBot="1">
      <c r="A16" s="24"/>
      <c r="B16" s="24"/>
      <c r="C16" s="18"/>
      <c r="D16" s="19"/>
      <c r="E16" s="19"/>
      <c r="F16" s="19"/>
      <c r="G16" s="19"/>
      <c r="H16" s="19"/>
      <c r="I16" s="47" t="s">
        <v>247</v>
      </c>
      <c r="J16" s="48"/>
      <c r="K16" s="48"/>
      <c r="L16" s="49"/>
      <c r="M16" s="20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</row>
    <row r="17" spans="1:67">
      <c r="A17" s="24"/>
      <c r="B17" s="24"/>
      <c r="C17" s="18"/>
      <c r="D17" s="19"/>
      <c r="E17" s="19"/>
      <c r="F17" s="19"/>
      <c r="G17" s="19"/>
      <c r="H17" s="19"/>
      <c r="I17" s="19"/>
      <c r="J17" s="19"/>
      <c r="K17" s="19"/>
      <c r="L17" s="19"/>
      <c r="M17" s="20"/>
      <c r="Q17" t="s">
        <v>213</v>
      </c>
      <c r="R17" t="s">
        <v>214</v>
      </c>
      <c r="S17" t="s">
        <v>215</v>
      </c>
      <c r="T17" t="s">
        <v>219</v>
      </c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</row>
    <row r="18" spans="1:67" ht="15.75" thickBot="1">
      <c r="A18" s="24"/>
      <c r="B18" s="24"/>
      <c r="C18" s="18"/>
      <c r="D18" s="19"/>
      <c r="E18" s="19"/>
      <c r="F18" s="19"/>
      <c r="G18" s="19"/>
      <c r="H18" s="19"/>
      <c r="I18" s="19"/>
      <c r="J18" s="19"/>
      <c r="K18" s="19"/>
      <c r="L18" s="19"/>
      <c r="M18" s="20"/>
      <c r="Q18">
        <f>ROUND(PageCountChoice*PPI_In, 5)</f>
        <v>0.83250000000000002</v>
      </c>
      <c r="R18">
        <f>ROUND(PageCountChoice*PPI__mm, 5)</f>
        <v>21.145499999999998</v>
      </c>
      <c r="S18">
        <f>ROUND(PageCountChoice*PPI__cm, 5)</f>
        <v>2.1145499999999999</v>
      </c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</row>
    <row r="19" spans="1:67" ht="15.75" thickBot="1">
      <c r="A19" s="24"/>
      <c r="B19" s="24"/>
      <c r="C19" s="18"/>
      <c r="D19" s="19"/>
      <c r="E19" s="19"/>
      <c r="F19" s="19"/>
      <c r="G19" s="19"/>
      <c r="H19" s="19"/>
      <c r="I19" s="25">
        <v>333</v>
      </c>
      <c r="J19" s="19"/>
      <c r="K19" s="19"/>
      <c r="L19" s="19"/>
      <c r="M19" s="20"/>
      <c r="Q19" t="str">
        <f>Q18&amp;""""</f>
        <v>0.8325"</v>
      </c>
      <c r="R19" t="str">
        <f>R18&amp;" mm"</f>
        <v>21.1455 mm</v>
      </c>
      <c r="S19" t="str">
        <f>S18&amp;" cm"</f>
        <v>2.11455 cm</v>
      </c>
      <c r="T19" t="str">
        <f>SpineWidthIn&amp;" ("&amp;SpineWidthMM&amp;")" &amp;" Spine Width"</f>
        <v>0.8325" (21.1455 mm) Spine Width</v>
      </c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</row>
    <row r="20" spans="1:67">
      <c r="A20" s="24"/>
      <c r="B20" s="24"/>
      <c r="C20" s="18"/>
      <c r="D20" s="19"/>
      <c r="E20" s="19"/>
      <c r="F20" s="19"/>
      <c r="G20" s="19"/>
      <c r="H20" s="19"/>
      <c r="I20" s="19"/>
      <c r="J20" s="19"/>
      <c r="K20" s="19"/>
      <c r="L20" s="19"/>
      <c r="M20" s="20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</row>
    <row r="21" spans="1:67">
      <c r="A21" s="24"/>
      <c r="B21" s="24"/>
      <c r="C21" s="18"/>
      <c r="D21" s="19"/>
      <c r="E21" s="19"/>
      <c r="F21" s="19"/>
      <c r="G21" s="19"/>
      <c r="H21" s="19"/>
      <c r="I21" s="19"/>
      <c r="J21" s="19"/>
      <c r="K21" s="19"/>
      <c r="L21" s="19"/>
      <c r="M21" s="20"/>
      <c r="Q21" t="s">
        <v>216</v>
      </c>
      <c r="R21" t="s">
        <v>217</v>
      </c>
      <c r="S21" t="s">
        <v>218</v>
      </c>
      <c r="T21" t="s">
        <v>220</v>
      </c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</row>
    <row r="22" spans="1:67">
      <c r="A22" s="24"/>
      <c r="B22" s="24"/>
      <c r="C22" s="18"/>
      <c r="D22" s="19"/>
      <c r="E22" s="19"/>
      <c r="F22" s="19"/>
      <c r="G22" s="19"/>
      <c r="H22" s="19"/>
      <c r="I22" s="19"/>
      <c r="J22" s="19"/>
      <c r="K22" s="19"/>
      <c r="L22" s="19"/>
      <c r="M22" s="20"/>
      <c r="Q22">
        <f>ROUND(SpineWidthInMath-cMarginSLIn-cMarginSRIn, 5)</f>
        <v>0.70750000000000002</v>
      </c>
      <c r="R22">
        <f>ROUND(SpineWidthMMmath-cMarginSLmm-cMarginSRmm, 5)</f>
        <v>17.970500000000001</v>
      </c>
      <c r="S22">
        <f>ROUND(SpineWidthCmMath-cMarginSLcm-cMarginSRcm, 5)</f>
        <v>1.79705</v>
      </c>
      <c r="T22" t="str">
        <f>Q23&amp;" ("&amp;R23&amp;")"&amp;" Spine Text Width"</f>
        <v>0.7075" (17.9705 mm) Spine Text Width</v>
      </c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</row>
    <row r="23" spans="1:67">
      <c r="A23" s="24"/>
      <c r="B23" s="24"/>
      <c r="C23" s="18"/>
      <c r="D23" s="19"/>
      <c r="E23" s="19"/>
      <c r="F23" s="19"/>
      <c r="G23" s="19"/>
      <c r="H23" s="19"/>
      <c r="I23" s="19"/>
      <c r="J23" s="19"/>
      <c r="K23" s="19"/>
      <c r="L23" s="19"/>
      <c r="M23" s="20"/>
      <c r="Q23" t="str">
        <f>SpineTextInMath&amp;""""</f>
        <v>0.7075"</v>
      </c>
      <c r="R23" t="str">
        <f>SpineTextMMmath&amp;" mm"</f>
        <v>17.9705 mm</v>
      </c>
      <c r="S23" t="str">
        <f>SpineTextCMmath&amp;" cm"</f>
        <v>1.79705 cm</v>
      </c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</row>
    <row r="24" spans="1:67">
      <c r="A24" s="24"/>
      <c r="B24" s="24"/>
      <c r="C24" s="18"/>
      <c r="D24" s="19"/>
      <c r="E24" s="19"/>
      <c r="F24" s="19"/>
      <c r="G24" s="19"/>
      <c r="H24" s="19"/>
      <c r="I24" s="19"/>
      <c r="J24" s="19"/>
      <c r="K24" s="19"/>
      <c r="L24" s="19"/>
      <c r="M24" s="20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</row>
    <row r="25" spans="1:67">
      <c r="A25" s="24"/>
      <c r="B25" s="24"/>
      <c r="C25" s="18"/>
      <c r="D25" s="19"/>
      <c r="E25" s="19"/>
      <c r="F25" s="19"/>
      <c r="G25" s="19"/>
      <c r="H25" s="19"/>
      <c r="I25" s="19"/>
      <c r="J25" s="19"/>
      <c r="K25" s="19"/>
      <c r="L25" s="19"/>
      <c r="M25" s="20"/>
      <c r="N25" s="24"/>
      <c r="O25" s="24"/>
      <c r="P25" s="24"/>
      <c r="Q25" t="s">
        <v>10</v>
      </c>
      <c r="R25" t="s">
        <v>11</v>
      </c>
      <c r="S25" t="s">
        <v>225</v>
      </c>
      <c r="T25" t="s">
        <v>226</v>
      </c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</row>
    <row r="26" spans="1:67" ht="15.75" thickBot="1">
      <c r="A26" s="24"/>
      <c r="B26" s="24"/>
      <c r="C26" s="21"/>
      <c r="D26" s="22"/>
      <c r="E26" s="22"/>
      <c r="F26" s="22"/>
      <c r="G26" s="22"/>
      <c r="H26" s="22"/>
      <c r="I26" s="22"/>
      <c r="J26" s="22"/>
      <c r="K26" s="22"/>
      <c r="L26" s="22"/>
      <c r="M26" s="23"/>
      <c r="N26" s="24"/>
      <c r="O26" s="24"/>
      <c r="P26" s="24"/>
      <c r="Q26" t="str">
        <f>VLOOKUP(TrimSizeChoice, LU_TrimSizes[], 29, FALSE)&amp;" Cover Width"</f>
        <v>13.0825" (33.22955 cm) Cover Width</v>
      </c>
      <c r="R26" t="str">
        <f>VLOOKUP(TrimSizeChoice, LU_TrimSizes[], 32, FALSE)&amp;" Cover Height"</f>
        <v>9.25" (23.495 cm) Cover Height</v>
      </c>
      <c r="S26" t="str">
        <f>VLOOKUP(TrimSizeChoice, LU_TrimSizes[], 33, FALSE)</f>
        <v>13.0825" x 9.25"</v>
      </c>
      <c r="T26" t="str">
        <f>VLOOKUP(TrimSizeChoice, LU_TrimSizes[], 34, FALSE)</f>
        <v>33.22955 cm x 23.495 cm</v>
      </c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</row>
    <row r="27" spans="1:67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</row>
    <row r="28" spans="1:67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 t="s">
        <v>108</v>
      </c>
      <c r="R28" s="24" t="s">
        <v>109</v>
      </c>
      <c r="S28" s="24" t="s">
        <v>235</v>
      </c>
      <c r="T28" s="24" t="s">
        <v>234</v>
      </c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</row>
    <row r="29" spans="1:67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 t="str">
        <f>VLOOKUP(TrimSizeChoice, LU_TrimSizes[], 37, FALSE)&amp;" Safe Zone"</f>
        <v>12.5825" (31.95955 cm) Safe Zone</v>
      </c>
      <c r="R29" s="24" t="str">
        <f>VLOOKUP(TrimSizeChoice, LU_TrimSizes[], 38, FALSE)&amp;" Safe Zone"</f>
        <v>8.75" (22.225 cm) Safe Zone</v>
      </c>
      <c r="S29" s="24" t="str">
        <f>VLOOKUP(TrimSizeChoice, LU_TrimSizes[], 41, FALSE)</f>
        <v>12.5825" x 8.75"</v>
      </c>
      <c r="T29" s="24" t="str">
        <f>VLOOKUP(TrimSizeChoice, LU_TrimSizes[], 42, FALSE)</f>
        <v>31.95955 cm x 22.225 cm</v>
      </c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</row>
    <row r="30" spans="1:67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</row>
    <row r="31" spans="1:67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</row>
    <row r="32" spans="1:67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</row>
    <row r="33" spans="1:67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</row>
    <row r="34" spans="1:67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</row>
    <row r="35" spans="1:67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</row>
    <row r="36" spans="1:67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</row>
    <row r="37" spans="1:67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</row>
    <row r="38" spans="1:67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</row>
    <row r="39" spans="1:67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</row>
    <row r="40" spans="1:67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</row>
    <row r="41" spans="1:67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</row>
    <row r="42" spans="1:67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</row>
    <row r="43" spans="1:67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</row>
    <row r="44" spans="1:67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</row>
    <row r="45" spans="1:67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</row>
    <row r="46" spans="1:67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</row>
    <row r="47" spans="1:67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</row>
    <row r="48" spans="1:67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</row>
    <row r="49" spans="1:67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</row>
    <row r="50" spans="1:67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</row>
    <row r="51" spans="1:67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</row>
    <row r="52" spans="1:67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</row>
    <row r="53" spans="1:67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</row>
    <row r="54" spans="1:67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</row>
    <row r="55" spans="1:67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</row>
    <row r="56" spans="1:67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</row>
    <row r="57" spans="1:67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</row>
    <row r="58" spans="1:67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</row>
    <row r="59" spans="1:67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</row>
    <row r="60" spans="1:67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</row>
    <row r="61" spans="1:67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4"/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</row>
    <row r="62" spans="1:67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</row>
    <row r="63" spans="1:67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/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</row>
    <row r="64" spans="1:67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</row>
    <row r="65" spans="1:67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4"/>
      <c r="AX65" s="24"/>
      <c r="AY65" s="24"/>
      <c r="AZ65" s="24"/>
      <c r="BA65" s="24"/>
      <c r="BB65" s="24"/>
      <c r="BC65" s="24"/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</row>
  </sheetData>
  <sheetProtection algorithmName="SHA-512" hashValue="+34bOLte8GNhaGbmL4KTEwYfieJ1jKRuxthXEH2dpUo/guIJj6o9ksKfITHJTnId+HKJi3MVUk/ZyyYv5fvN3A==" saltValue="RrPqnlERMU4xCeFF7VCFiQ==" spinCount="100000" sheet="1" objects="1" scenarios="1" selectLockedCells="1"/>
  <mergeCells count="3">
    <mergeCell ref="I13:L13"/>
    <mergeCell ref="I16:L16"/>
    <mergeCell ref="N5:P5"/>
  </mergeCells>
  <dataValidations count="3">
    <dataValidation type="list" allowBlank="1" showInputMessage="1" showErrorMessage="1" sqref="I13:L13">
      <formula1>List_InkPaper</formula1>
    </dataValidation>
    <dataValidation type="list" allowBlank="1" showInputMessage="1" showErrorMessage="1" sqref="I16:L16">
      <formula1>List_TrimSize</formula1>
    </dataValidation>
    <dataValidation type="whole" allowBlank="1" showInputMessage="1" showErrorMessage="1" errorTitle="Minimum Page Count is 24" error="The minimum number of pages must be between 24 and the max page count for your Ink &amp; Paper Type and Trim Size. Please refer to the chart for more information." promptTitle="Page Count" prompt="Your page count must be between 24 and the max page count for Ink &amp; Paper Choice and Trim Size. " sqref="I19">
      <formula1>24</formula1>
      <formula2>Max_Page_Count</formula2>
    </dataValidation>
  </dataValidations>
  <printOptions horizontalCentered="1" verticalCentered="1"/>
  <pageMargins left="0.7" right="0.7" top="0.75" bottom="0.75" header="0.3" footer="0.3"/>
  <pageSetup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5122" r:id="rId4" name="InteriorType">
          <controlPr autoLine="0" r:id="rId5">
            <anchor moveWithCells="1">
              <from>
                <xdr:col>4</xdr:col>
                <xdr:colOff>57150</xdr:colOff>
                <xdr:row>11</xdr:row>
                <xdr:rowOff>161925</xdr:rowOff>
              </from>
              <to>
                <xdr:col>7</xdr:col>
                <xdr:colOff>361950</xdr:colOff>
                <xdr:row>13</xdr:row>
                <xdr:rowOff>47625</xdr:rowOff>
              </to>
            </anchor>
          </controlPr>
        </control>
      </mc:Choice>
      <mc:Fallback>
        <control shapeId="5122" r:id="rId4" name="InteriorType"/>
      </mc:Fallback>
    </mc:AlternateContent>
    <mc:AlternateContent xmlns:mc="http://schemas.openxmlformats.org/markup-compatibility/2006">
      <mc:Choice Requires="x14">
        <control shapeId="5123" r:id="rId6" name="lblTrimSize">
          <controlPr autoLine="0" r:id="rId7">
            <anchor moveWithCells="1">
              <from>
                <xdr:col>4</xdr:col>
                <xdr:colOff>57150</xdr:colOff>
                <xdr:row>14</xdr:row>
                <xdr:rowOff>133350</xdr:rowOff>
              </from>
              <to>
                <xdr:col>7</xdr:col>
                <xdr:colOff>104775</xdr:colOff>
                <xdr:row>16</xdr:row>
                <xdr:rowOff>19050</xdr:rowOff>
              </to>
            </anchor>
          </controlPr>
        </control>
      </mc:Choice>
      <mc:Fallback>
        <control shapeId="5123" r:id="rId6" name="lblTrimSize"/>
      </mc:Fallback>
    </mc:AlternateContent>
    <mc:AlternateContent xmlns:mc="http://schemas.openxmlformats.org/markup-compatibility/2006">
      <mc:Choice Requires="x14">
        <control shapeId="5124" r:id="rId8" name="Label22">
          <controlPr autoLine="0" autoPict="0" r:id="rId9">
            <anchor moveWithCells="1">
              <from>
                <xdr:col>4</xdr:col>
                <xdr:colOff>66675</xdr:colOff>
                <xdr:row>17</xdr:row>
                <xdr:rowOff>76200</xdr:rowOff>
              </from>
              <to>
                <xdr:col>7</xdr:col>
                <xdr:colOff>295275</xdr:colOff>
                <xdr:row>18</xdr:row>
                <xdr:rowOff>161925</xdr:rowOff>
              </to>
            </anchor>
          </controlPr>
        </control>
      </mc:Choice>
      <mc:Fallback>
        <control shapeId="5124" r:id="rId8" name="Label22"/>
      </mc:Fallback>
    </mc:AlternateContent>
    <mc:AlternateContent xmlns:mc="http://schemas.openxmlformats.org/markup-compatibility/2006">
      <mc:Choice Requires="x14">
        <control shapeId="5126" r:id="rId10" name="Label24">
          <controlPr autoLine="0" r:id="rId11">
            <anchor moveWithCells="1">
              <from>
                <xdr:col>9</xdr:col>
                <xdr:colOff>200025</xdr:colOff>
                <xdr:row>18</xdr:row>
                <xdr:rowOff>19050</xdr:rowOff>
              </from>
              <to>
                <xdr:col>10</xdr:col>
                <xdr:colOff>228600</xdr:colOff>
                <xdr:row>19</xdr:row>
                <xdr:rowOff>66675</xdr:rowOff>
              </to>
            </anchor>
          </controlPr>
        </control>
      </mc:Choice>
      <mc:Fallback>
        <control shapeId="5126" r:id="rId10" name="Label2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O44"/>
  <sheetViews>
    <sheetView showGridLines="0" showRowColHeaders="0" zoomScaleNormal="100" workbookViewId="0"/>
  </sheetViews>
  <sheetFormatPr defaultRowHeight="11.45" customHeight="1"/>
  <cols>
    <col min="12" max="12" width="4" customWidth="1"/>
    <col min="13" max="13" width="10" bestFit="1" customWidth="1"/>
    <col min="14" max="14" width="14.42578125" bestFit="1" customWidth="1"/>
    <col min="15" max="15" width="10.28515625" bestFit="1" customWidth="1"/>
  </cols>
  <sheetData>
    <row r="2" spans="1:15" ht="11.45" customHeight="1">
      <c r="A2" s="52" t="s">
        <v>237</v>
      </c>
      <c r="B2" s="52"/>
      <c r="C2" s="52"/>
      <c r="D2" s="52"/>
      <c r="E2" s="52"/>
    </row>
    <row r="3" spans="1:15" ht="11.45" customHeight="1">
      <c r="A3" s="52"/>
      <c r="B3" s="52"/>
      <c r="C3" s="52"/>
      <c r="D3" s="52"/>
      <c r="E3" s="52"/>
    </row>
    <row r="4" spans="1:15" ht="11.45" customHeight="1">
      <c r="A4" s="52"/>
      <c r="B4" s="52"/>
      <c r="C4" s="52"/>
      <c r="D4" s="52"/>
      <c r="E4" s="52"/>
    </row>
    <row r="8" spans="1:15" ht="11.45" customHeight="1">
      <c r="O8" s="8"/>
    </row>
    <row r="9" spans="1:15" ht="11.45" customHeight="1">
      <c r="O9" s="10"/>
    </row>
    <row r="10" spans="1:15" ht="11.45" customHeight="1">
      <c r="O10" s="10"/>
    </row>
    <row r="11" spans="1:15" ht="11.45" customHeight="1">
      <c r="O11" s="10"/>
    </row>
    <row r="12" spans="1:15" ht="11.45" customHeight="1">
      <c r="O12" s="8"/>
    </row>
    <row r="13" spans="1:15" ht="11.45" customHeight="1">
      <c r="O13" s="10"/>
    </row>
    <row r="14" spans="1:15" ht="11.45" customHeight="1">
      <c r="O14" s="10"/>
    </row>
    <row r="15" spans="1:15" ht="11.45" customHeight="1">
      <c r="O15" s="8"/>
    </row>
    <row r="16" spans="1:15" ht="11.45" customHeight="1">
      <c r="O16" s="10"/>
    </row>
    <row r="17" spans="15:15" ht="11.45" customHeight="1">
      <c r="O17" s="10"/>
    </row>
    <row r="18" spans="15:15" ht="11.45" customHeight="1">
      <c r="O18" s="8"/>
    </row>
    <row r="19" spans="15:15" ht="11.45" customHeight="1">
      <c r="O19" s="10"/>
    </row>
    <row r="20" spans="15:15" ht="11.45" customHeight="1">
      <c r="O20" s="10"/>
    </row>
    <row r="21" spans="15:15" ht="11.45" customHeight="1">
      <c r="O21" s="10"/>
    </row>
    <row r="22" spans="15:15" ht="11.45" customHeight="1">
      <c r="O22" s="8"/>
    </row>
    <row r="23" spans="15:15" ht="11.45" customHeight="1">
      <c r="O23" s="10"/>
    </row>
    <row r="24" spans="15:15" ht="11.45" customHeight="1">
      <c r="O24" s="10"/>
    </row>
    <row r="25" spans="15:15" ht="11.45" customHeight="1">
      <c r="O25" s="10"/>
    </row>
    <row r="26" spans="15:15" ht="11.45" customHeight="1">
      <c r="O26" s="8"/>
    </row>
    <row r="27" spans="15:15" ht="11.45" customHeight="1">
      <c r="O27" s="10"/>
    </row>
    <row r="28" spans="15:15" ht="11.45" customHeight="1">
      <c r="O28" s="10"/>
    </row>
    <row r="29" spans="15:15" ht="11.45" customHeight="1">
      <c r="O29" s="10"/>
    </row>
    <row r="30" spans="15:15" ht="11.45" customHeight="1">
      <c r="O30" s="8"/>
    </row>
    <row r="31" spans="15:15" ht="11.45" customHeight="1">
      <c r="O31" s="10"/>
    </row>
    <row r="32" spans="15:15" ht="11.45" customHeight="1">
      <c r="O32" s="10"/>
    </row>
    <row r="33" spans="8:15" ht="11.45" customHeight="1">
      <c r="O33" s="10"/>
    </row>
    <row r="34" spans="8:15" ht="11.45" customHeight="1">
      <c r="O34" s="8"/>
    </row>
    <row r="35" spans="8:15" ht="11.45" customHeight="1">
      <c r="O35" s="10"/>
    </row>
    <row r="36" spans="8:15" ht="11.45" customHeight="1">
      <c r="O36" s="10"/>
    </row>
    <row r="37" spans="8:15" ht="11.45" customHeight="1">
      <c r="O37" s="10"/>
    </row>
    <row r="38" spans="8:15" ht="11.45" customHeight="1">
      <c r="M38" s="9"/>
      <c r="O38" s="8"/>
    </row>
    <row r="39" spans="8:15" ht="11.45" customHeight="1">
      <c r="O39" s="10"/>
    </row>
    <row r="40" spans="8:15" ht="11.45" customHeight="1">
      <c r="O40" s="10"/>
    </row>
    <row r="41" spans="8:15" ht="11.45" customHeight="1">
      <c r="H41" s="12"/>
      <c r="O41" s="10"/>
    </row>
    <row r="42" spans="8:15" ht="11.45" customHeight="1">
      <c r="O42" s="8"/>
    </row>
    <row r="43" spans="8:15" ht="11.45" customHeight="1">
      <c r="O43" s="10"/>
    </row>
    <row r="44" spans="8:15" ht="11.45" customHeight="1">
      <c r="O44" s="10"/>
    </row>
  </sheetData>
  <sheetProtection algorithmName="SHA-512" hashValue="H8J6V75mANwPf/j6wloGXIW2wxBUPx04nUaN0J3arwa4ne/lASlaVGxcvGFPbD0DU17mk4KKJ72rPuC3PmU/4Q==" saltValue="aJk5MwtKK2D3/LKQTUDPOA==" spinCount="100000" sheet="1" objects="1" scenarios="1" selectLockedCells="1" selectUnlockedCells="1"/>
  <mergeCells count="1">
    <mergeCell ref="A2:E4"/>
  </mergeCell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O32"/>
  <sheetViews>
    <sheetView showGridLines="0" showRowColHeaders="0" zoomScaleNormal="100" workbookViewId="0"/>
  </sheetViews>
  <sheetFormatPr defaultRowHeight="11.45" customHeight="1"/>
  <cols>
    <col min="12" max="12" width="7.28515625" customWidth="1"/>
  </cols>
  <sheetData>
    <row r="2" spans="1:15" ht="11.45" customHeight="1">
      <c r="A2" s="52" t="s">
        <v>236</v>
      </c>
      <c r="B2" s="52"/>
      <c r="C2" s="52"/>
      <c r="D2" s="52"/>
      <c r="E2" s="52"/>
      <c r="F2" s="14"/>
      <c r="G2" s="14"/>
    </row>
    <row r="3" spans="1:15" ht="11.45" customHeight="1">
      <c r="A3" s="52"/>
      <c r="B3" s="52"/>
      <c r="C3" s="52"/>
      <c r="D3" s="52"/>
      <c r="E3" s="52"/>
      <c r="F3" s="14"/>
      <c r="G3" s="14"/>
    </row>
    <row r="4" spans="1:15" ht="11.45" customHeight="1">
      <c r="A4" s="52"/>
      <c r="B4" s="52"/>
      <c r="C4" s="52"/>
      <c r="D4" s="52"/>
      <c r="E4" s="52"/>
      <c r="F4" s="14"/>
      <c r="G4" s="14"/>
    </row>
    <row r="5" spans="1:15" ht="11.45" customHeight="1">
      <c r="C5" s="14"/>
      <c r="D5" s="14"/>
      <c r="E5" s="14"/>
      <c r="F5" s="14"/>
      <c r="G5" s="14"/>
    </row>
    <row r="8" spans="1:15" ht="11.45" customHeight="1">
      <c r="O8" s="8"/>
    </row>
    <row r="9" spans="1:15" ht="11.45" customHeight="1">
      <c r="A9" s="14"/>
      <c r="B9" s="14"/>
      <c r="C9" s="14"/>
      <c r="D9" s="14"/>
      <c r="E9" s="14"/>
      <c r="O9" s="10"/>
    </row>
    <row r="10" spans="1:15" ht="11.45" customHeight="1">
      <c r="O10" s="10"/>
    </row>
    <row r="11" spans="1:15" ht="11.45" customHeight="1">
      <c r="O11" s="10"/>
    </row>
    <row r="12" spans="1:15" ht="11.45" customHeight="1">
      <c r="O12" s="8"/>
    </row>
    <row r="13" spans="1:15" ht="11.45" customHeight="1">
      <c r="O13" s="9"/>
    </row>
    <row r="14" spans="1:15" ht="11.45" customHeight="1">
      <c r="O14" s="9"/>
    </row>
    <row r="15" spans="1:15" ht="11.45" customHeight="1">
      <c r="O15" s="11"/>
    </row>
    <row r="16" spans="1:15" ht="11.45" customHeight="1">
      <c r="O16" s="9"/>
    </row>
    <row r="17" spans="13:15" ht="11.45" customHeight="1">
      <c r="O17" s="9"/>
    </row>
    <row r="18" spans="13:15" ht="11.45" customHeight="1">
      <c r="O18" s="11"/>
    </row>
    <row r="19" spans="13:15" ht="11.45" customHeight="1">
      <c r="O19" s="9"/>
    </row>
    <row r="20" spans="13:15" ht="11.45" customHeight="1">
      <c r="O20" s="9"/>
    </row>
    <row r="21" spans="13:15" ht="11.45" customHeight="1">
      <c r="O21" s="9"/>
    </row>
    <row r="22" spans="13:15" ht="11.45" customHeight="1">
      <c r="O22" s="11"/>
    </row>
    <row r="23" spans="13:15" ht="11.45" customHeight="1">
      <c r="O23" s="9"/>
    </row>
    <row r="24" spans="13:15" ht="11.45" customHeight="1">
      <c r="O24" s="9"/>
    </row>
    <row r="25" spans="13:15" ht="11.45" customHeight="1">
      <c r="O25" s="9"/>
    </row>
    <row r="26" spans="13:15" ht="11.45" customHeight="1">
      <c r="M26" s="9"/>
      <c r="O26" s="11"/>
    </row>
    <row r="27" spans="13:15" ht="11.45" customHeight="1">
      <c r="O27" s="9"/>
    </row>
    <row r="28" spans="13:15" ht="11.45" customHeight="1">
      <c r="O28" s="9"/>
    </row>
    <row r="29" spans="13:15" ht="11.45" customHeight="1">
      <c r="O29" s="9"/>
    </row>
    <row r="30" spans="13:15" ht="11.45" customHeight="1">
      <c r="O30" s="11"/>
    </row>
    <row r="31" spans="13:15" ht="11.45" customHeight="1">
      <c r="O31" s="9"/>
    </row>
    <row r="32" spans="13:15" ht="11.45" customHeight="1">
      <c r="O32" s="9"/>
    </row>
  </sheetData>
  <sheetProtection algorithmName="SHA-512" hashValue="qFgd949o29JXHHHRA/cr2n8jjg7cLIGa/1SEZL0PdgvroVXQdN2GbmXMJXiM1dWm4EvtRg7MA3R/KPJRd3sOzA==" saltValue="D4cGYBMTq/6xidwiRCPUBg==" spinCount="100000" sheet="1" objects="1" scenarios="1" selectLockedCells="1" selectUnlockedCells="1"/>
  <mergeCells count="1">
    <mergeCell ref="A2:E4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2:N32"/>
  <sheetViews>
    <sheetView showGridLines="0" showRowColHeaders="0" zoomScale="115" zoomScaleNormal="115" workbookViewId="0"/>
  </sheetViews>
  <sheetFormatPr defaultRowHeight="11.45" customHeight="1"/>
  <sheetData>
    <row r="2" spans="3:14" ht="11.45" customHeight="1">
      <c r="C2" s="52" t="s">
        <v>26</v>
      </c>
      <c r="D2" s="52"/>
    </row>
    <row r="3" spans="3:14" ht="11.45" customHeight="1">
      <c r="C3" s="52"/>
      <c r="D3" s="52"/>
    </row>
    <row r="4" spans="3:14" ht="11.45" customHeight="1">
      <c r="C4" s="14"/>
      <c r="D4" s="14"/>
    </row>
    <row r="8" spans="3:14" ht="11.45" customHeight="1">
      <c r="N8" s="8"/>
    </row>
    <row r="9" spans="3:14" ht="11.45" customHeight="1">
      <c r="N9" s="10"/>
    </row>
    <row r="10" spans="3:14" ht="11.45" customHeight="1">
      <c r="N10" s="10"/>
    </row>
    <row r="11" spans="3:14" ht="11.45" customHeight="1">
      <c r="N11" s="10"/>
    </row>
    <row r="12" spans="3:14" ht="11.45" customHeight="1">
      <c r="N12" s="8"/>
    </row>
    <row r="13" spans="3:14" ht="11.45" customHeight="1">
      <c r="N13" s="9"/>
    </row>
    <row r="15" spans="3:14" ht="11.45" customHeight="1">
      <c r="N15" s="8"/>
    </row>
    <row r="16" spans="3:14" ht="11.45" customHeight="1">
      <c r="N16" s="10"/>
    </row>
    <row r="18" spans="13:14" ht="11.45" customHeight="1">
      <c r="N18" s="8"/>
    </row>
    <row r="19" spans="13:14" ht="11.45" customHeight="1">
      <c r="N19" s="10"/>
    </row>
    <row r="20" spans="13:14" ht="11.45" customHeight="1">
      <c r="N20" s="10"/>
    </row>
    <row r="21" spans="13:14" ht="11.45" customHeight="1">
      <c r="N21" s="10"/>
    </row>
    <row r="22" spans="13:14" ht="11.45" customHeight="1">
      <c r="N22" s="8"/>
    </row>
    <row r="23" spans="13:14" ht="11.45" customHeight="1">
      <c r="N23" s="10"/>
    </row>
    <row r="24" spans="13:14" ht="11.45" customHeight="1">
      <c r="N24" s="10"/>
    </row>
    <row r="26" spans="13:14" ht="11.45" customHeight="1">
      <c r="N26" s="8"/>
    </row>
    <row r="27" spans="13:14" ht="11.45" customHeight="1">
      <c r="N27" s="10"/>
    </row>
    <row r="28" spans="13:14" ht="11.45" customHeight="1">
      <c r="N28" s="10"/>
    </row>
    <row r="29" spans="13:14" ht="11.45" customHeight="1">
      <c r="M29" s="10"/>
      <c r="N29" s="10"/>
    </row>
    <row r="30" spans="13:14" ht="11.45" customHeight="1">
      <c r="M30" s="10"/>
      <c r="N30" s="8"/>
    </row>
    <row r="31" spans="13:14" ht="11.45" customHeight="1">
      <c r="N31" s="10"/>
    </row>
    <row r="32" spans="13:14" ht="11.45" customHeight="1">
      <c r="N32" s="10"/>
    </row>
  </sheetData>
  <sheetProtection algorithmName="SHA-512" hashValue="sDNNz18zPTGDp7NLGgz5yKiPVQJU4ythzKfx/b0NtDF3IzjVfYZzZmDrEdtB8itNOlOhQixaqQaXLPP8eVb6hQ==" saltValue="MLp4BLI1vr5XTMklA+Figw==" spinCount="100000" sheet="1" objects="1" scenarios="1" selectLockedCells="1" selectUnlockedCells="1"/>
  <mergeCells count="1">
    <mergeCell ref="C2:D3"/>
  </mergeCell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showGridLines="0" workbookViewId="0"/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Q806"/>
  <sheetViews>
    <sheetView topLeftCell="X16" zoomScaleNormal="100" workbookViewId="0">
      <selection activeCell="Y31" sqref="Y31"/>
    </sheetView>
  </sheetViews>
  <sheetFormatPr defaultRowHeight="15"/>
  <cols>
    <col min="2" max="2" width="11.42578125" bestFit="1" customWidth="1"/>
    <col min="3" max="3" width="41" bestFit="1" customWidth="1"/>
    <col min="4" max="4" width="28.140625" bestFit="1" customWidth="1"/>
    <col min="5" max="7" width="28.140625" customWidth="1"/>
    <col min="8" max="8" width="20.5703125" customWidth="1"/>
    <col min="9" max="9" width="22.42578125" customWidth="1"/>
    <col min="10" max="10" width="26.7109375" customWidth="1"/>
    <col min="11" max="11" width="24.5703125" customWidth="1"/>
    <col min="12" max="12" width="22.28515625" bestFit="1" customWidth="1"/>
    <col min="15" max="15" width="10" bestFit="1" customWidth="1"/>
    <col min="16" max="16" width="10.28515625" bestFit="1" customWidth="1"/>
    <col min="17" max="17" width="12.7109375" bestFit="1" customWidth="1"/>
    <col min="18" max="18" width="15.7109375" customWidth="1"/>
    <col min="19" max="19" width="27.28515625" customWidth="1"/>
    <col min="20" max="20" width="32.5703125" customWidth="1"/>
    <col min="21" max="21" width="28.85546875" customWidth="1"/>
    <col min="22" max="22" width="16.140625" customWidth="1"/>
    <col min="23" max="23" width="21.7109375" customWidth="1"/>
    <col min="25" max="25" width="27.28515625" bestFit="1" customWidth="1"/>
    <col min="26" max="26" width="13.85546875" customWidth="1"/>
    <col min="27" max="27" width="10.7109375" customWidth="1"/>
    <col min="28" max="28" width="14.85546875" customWidth="1"/>
    <col min="29" max="29" width="19.28515625" customWidth="1"/>
    <col min="30" max="30" width="19.85546875" customWidth="1"/>
    <col min="31" max="31" width="17.7109375" customWidth="1"/>
    <col min="32" max="32" width="27.28515625" bestFit="1" customWidth="1"/>
    <col min="33" max="33" width="22.42578125" bestFit="1" customWidth="1"/>
    <col min="34" max="34" width="21.85546875" bestFit="1" customWidth="1"/>
    <col min="35" max="35" width="26" bestFit="1" customWidth="1"/>
    <col min="36" max="36" width="25.5703125" bestFit="1" customWidth="1"/>
    <col min="37" max="37" width="26.7109375" bestFit="1" customWidth="1"/>
    <col min="38" max="38" width="28" bestFit="1" customWidth="1"/>
    <col min="39" max="39" width="26.7109375" bestFit="1" customWidth="1"/>
    <col min="40" max="40" width="28" bestFit="1" customWidth="1"/>
    <col min="41" max="41" width="26.7109375" bestFit="1" customWidth="1"/>
    <col min="42" max="42" width="28" bestFit="1" customWidth="1"/>
    <col min="45" max="45" width="33.42578125" bestFit="1" customWidth="1"/>
    <col min="47" max="47" width="38.7109375" bestFit="1" customWidth="1"/>
    <col min="48" max="48" width="33" bestFit="1" customWidth="1"/>
    <col min="49" max="49" width="33.7109375" bestFit="1" customWidth="1"/>
    <col min="50" max="50" width="36.42578125" bestFit="1" customWidth="1"/>
    <col min="51" max="51" width="17.42578125" bestFit="1" customWidth="1"/>
    <col min="52" max="52" width="20.5703125" bestFit="1" customWidth="1"/>
    <col min="53" max="53" width="19.140625" bestFit="1" customWidth="1"/>
    <col min="54" max="54" width="22.85546875" bestFit="1" customWidth="1"/>
    <col min="55" max="55" width="24.28515625" bestFit="1" customWidth="1"/>
    <col min="56" max="56" width="20.28515625" bestFit="1" customWidth="1"/>
    <col min="57" max="57" width="20.5703125" bestFit="1" customWidth="1"/>
    <col min="58" max="58" width="21.85546875" bestFit="1" customWidth="1"/>
    <col min="59" max="59" width="31.7109375" bestFit="1" customWidth="1"/>
    <col min="60" max="60" width="31.42578125" bestFit="1" customWidth="1"/>
    <col min="61" max="61" width="27.28515625" bestFit="1" customWidth="1"/>
    <col min="62" max="62" width="48.5703125" customWidth="1"/>
    <col min="63" max="63" width="31" bestFit="1" customWidth="1"/>
    <col min="64" max="64" width="27" bestFit="1" customWidth="1"/>
    <col min="65" max="65" width="27.5703125" bestFit="1" customWidth="1"/>
    <col min="66" max="66" width="28.7109375" bestFit="1" customWidth="1"/>
    <col min="67" max="67" width="17.42578125" customWidth="1"/>
    <col min="68" max="68" width="18.5703125" customWidth="1"/>
  </cols>
  <sheetData>
    <row r="1" spans="1:69">
      <c r="B1" s="53" t="s">
        <v>16</v>
      </c>
      <c r="C1" s="53"/>
      <c r="D1" s="53"/>
      <c r="E1" s="2"/>
      <c r="F1" s="2"/>
      <c r="G1" s="7" t="s">
        <v>152</v>
      </c>
      <c r="H1" t="s">
        <v>0</v>
      </c>
      <c r="I1" t="s">
        <v>1</v>
      </c>
      <c r="J1" t="s">
        <v>2</v>
      </c>
      <c r="K1" t="s">
        <v>3</v>
      </c>
      <c r="L1" t="s">
        <v>196</v>
      </c>
      <c r="M1" t="s">
        <v>4</v>
      </c>
      <c r="N1" t="s">
        <v>5</v>
      </c>
      <c r="O1" t="s">
        <v>6</v>
      </c>
      <c r="R1" t="s">
        <v>104</v>
      </c>
      <c r="S1" t="s">
        <v>105</v>
      </c>
      <c r="T1" t="s">
        <v>106</v>
      </c>
      <c r="U1" t="s">
        <v>107</v>
      </c>
      <c r="V1" t="s">
        <v>165</v>
      </c>
      <c r="W1" t="s">
        <v>166</v>
      </c>
      <c r="Y1" s="54" t="s">
        <v>114</v>
      </c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69">
      <c r="A2" t="s">
        <v>39</v>
      </c>
      <c r="B2" s="2" t="s">
        <v>40</v>
      </c>
      <c r="C2" s="2" t="s">
        <v>41</v>
      </c>
      <c r="D2" s="2" t="s">
        <v>77</v>
      </c>
      <c r="E2" s="2" t="s">
        <v>76</v>
      </c>
      <c r="F2" s="2"/>
      <c r="G2" s="6" t="str">
        <f>LU_InkPaper[[#This Row],[Ink]]&amp;" &amp; "&amp;LU_InkPaper[[#This Row],[Paper]]</f>
        <v>Black Ink &amp; Cream Paper</v>
      </c>
      <c r="H2" t="s">
        <v>13</v>
      </c>
      <c r="I2" t="s">
        <v>112</v>
      </c>
      <c r="J2">
        <v>2.5000000000000001E-3</v>
      </c>
      <c r="K2">
        <f>ROUND(J2*mm,5)</f>
        <v>6.3500000000000001E-2</v>
      </c>
      <c r="L2">
        <f>ROUND(LU_InkPaper[[#This Row],[Page thickness (Inches)]]*cm, 5)</f>
        <v>6.3499999999999997E-3</v>
      </c>
      <c r="M2">
        <v>1</v>
      </c>
      <c r="N2">
        <v>2.54</v>
      </c>
      <c r="O2">
        <v>25.4</v>
      </c>
      <c r="R2">
        <v>24</v>
      </c>
      <c r="S2">
        <v>0.375</v>
      </c>
      <c r="T2">
        <v>0.25</v>
      </c>
      <c r="U2">
        <v>0.375</v>
      </c>
      <c r="V2">
        <f t="shared" ref="V2:V65" si="0">ROUND(S2*mm, 5)</f>
        <v>9.5250000000000004</v>
      </c>
      <c r="W2" t="str">
        <f>S2&amp;""""&amp;" ("&amp;V2&amp;" mm)"</f>
        <v>0.375" (9.525 mm)</v>
      </c>
      <c r="Y2" t="s">
        <v>153</v>
      </c>
      <c r="Z2" t="s">
        <v>115</v>
      </c>
      <c r="AA2" t="s">
        <v>116</v>
      </c>
      <c r="AB2" t="s">
        <v>117</v>
      </c>
      <c r="AC2" s="5" t="s">
        <v>118</v>
      </c>
      <c r="AD2" s="5" t="s">
        <v>119</v>
      </c>
      <c r="AE2" t="s">
        <v>120</v>
      </c>
      <c r="AF2" t="s">
        <v>151</v>
      </c>
      <c r="AG2" t="s">
        <v>173</v>
      </c>
      <c r="AH2" t="s">
        <v>174</v>
      </c>
      <c r="AI2" t="s">
        <v>155</v>
      </c>
      <c r="AJ2" t="s">
        <v>156</v>
      </c>
      <c r="AK2" t="s">
        <v>175</v>
      </c>
      <c r="AL2" t="s">
        <v>176</v>
      </c>
      <c r="AM2" t="s">
        <v>157</v>
      </c>
      <c r="AN2" t="s">
        <v>158</v>
      </c>
      <c r="AO2" t="s">
        <v>159</v>
      </c>
      <c r="AP2" t="s">
        <v>160</v>
      </c>
      <c r="AQ2" t="s">
        <v>191</v>
      </c>
      <c r="AR2" t="s">
        <v>192</v>
      </c>
      <c r="AS2" t="s">
        <v>188</v>
      </c>
      <c r="AT2" t="s">
        <v>193</v>
      </c>
      <c r="AU2" t="s">
        <v>194</v>
      </c>
      <c r="AV2" t="s">
        <v>187</v>
      </c>
      <c r="AW2" t="s">
        <v>195</v>
      </c>
      <c r="AX2" t="s">
        <v>186</v>
      </c>
      <c r="AY2" t="s">
        <v>221</v>
      </c>
      <c r="AZ2" t="s">
        <v>222</v>
      </c>
      <c r="BA2" t="s">
        <v>10</v>
      </c>
      <c r="BB2" t="s">
        <v>223</v>
      </c>
      <c r="BC2" t="s">
        <v>224</v>
      </c>
      <c r="BD2" t="s">
        <v>11</v>
      </c>
      <c r="BE2" t="s">
        <v>225</v>
      </c>
      <c r="BF2" t="s">
        <v>226</v>
      </c>
      <c r="BG2" t="s">
        <v>227</v>
      </c>
      <c r="BH2" t="s">
        <v>228</v>
      </c>
      <c r="BI2" t="s">
        <v>229</v>
      </c>
      <c r="BJ2" t="s">
        <v>232</v>
      </c>
      <c r="BK2" t="s">
        <v>230</v>
      </c>
      <c r="BL2" t="s">
        <v>231</v>
      </c>
      <c r="BM2" t="s">
        <v>233</v>
      </c>
      <c r="BN2" t="s">
        <v>234</v>
      </c>
      <c r="BO2" t="s">
        <v>238</v>
      </c>
      <c r="BP2" t="s">
        <v>239</v>
      </c>
      <c r="BQ2" t="s">
        <v>240</v>
      </c>
    </row>
    <row r="3" spans="1:69">
      <c r="A3">
        <v>1</v>
      </c>
      <c r="B3" s="1" t="s">
        <v>17</v>
      </c>
      <c r="C3" s="1" t="s">
        <v>18</v>
      </c>
      <c r="D3" s="1" t="s">
        <v>12</v>
      </c>
      <c r="E3" s="3" t="s">
        <v>57</v>
      </c>
      <c r="F3" s="1"/>
      <c r="G3" s="6" t="str">
        <f>LU_InkPaper[[#This Row],[Ink]]&amp;" &amp; "&amp;LU_InkPaper[[#This Row],[Paper]]</f>
        <v>Black Ink &amp; White Paper</v>
      </c>
      <c r="H3" t="s">
        <v>13</v>
      </c>
      <c r="I3" t="s">
        <v>113</v>
      </c>
      <c r="J3">
        <v>2.2520000000000001E-3</v>
      </c>
      <c r="K3">
        <f>ROUND(J3*mm,5)</f>
        <v>5.7200000000000001E-2</v>
      </c>
      <c r="L3">
        <f>ROUND(LU_InkPaper[[#This Row],[Page thickness (Inches)]]*cm, 5)</f>
        <v>5.7200000000000003E-3</v>
      </c>
      <c r="R3">
        <v>25</v>
      </c>
      <c r="S3">
        <v>0.375</v>
      </c>
      <c r="T3">
        <v>0.25</v>
      </c>
      <c r="U3">
        <v>0.375</v>
      </c>
      <c r="V3">
        <f t="shared" si="0"/>
        <v>9.5250000000000004</v>
      </c>
      <c r="W3" t="str">
        <f t="shared" ref="W3:W66" si="1">S3&amp;""""&amp;" ("&amp;V3&amp;" mm)"</f>
        <v>0.375" (9.525 mm)</v>
      </c>
      <c r="Y3" s="32" t="s">
        <v>243</v>
      </c>
      <c r="Z3">
        <v>5</v>
      </c>
      <c r="AA3">
        <v>8</v>
      </c>
      <c r="AB3" t="s">
        <v>121</v>
      </c>
      <c r="AC3" s="5">
        <v>12.7</v>
      </c>
      <c r="AD3" s="5">
        <v>20.32</v>
      </c>
      <c r="AE3" t="s">
        <v>122</v>
      </c>
      <c r="AF3" t="str">
        <f>AB3&amp;" "&amp;AE3</f>
        <v>5" x 8" (12.7 x 20.32 cm)</v>
      </c>
      <c r="AG3" t="str">
        <f>LU_TrimSizes[[#This Row],[Trim Width (in)]]&amp;""" ("&amp;LU_TrimSizes[[#This Row],[Trim Width (cm)]]&amp;" cm)"</f>
        <v>5" (12.7 cm)</v>
      </c>
      <c r="AH3" t="str">
        <f>LU_TrimSizes[[#This Row],[Trim Height (in)]]&amp;""" ("&amp;LU_TrimSizes[[#This Row],[Trim Height (cm)]]&amp;" cm)"</f>
        <v>8" (20.32 cm)</v>
      </c>
      <c r="AI3" t="str">
        <f>ROUND(LU_TrimSizes[[#This Row],[Trim Width (in)]]+0.125, 5)&amp;""""</f>
        <v>5.125"</v>
      </c>
      <c r="AJ3" t="str">
        <f>ROUND(LU_TrimSizes[[#This Row],[Trim Height (in)]]+0.25, 5)&amp;""""</f>
        <v>8.25"</v>
      </c>
      <c r="AK3" t="str">
        <f>LU_TrimSizes[[#This Row],[Trim W Bleed (in)]]&amp;" ("&amp;LU_TrimSizes[[#This Row],[Trim W Bleed (cm)]]&amp;")"</f>
        <v>5.125" (13.0175 cm)</v>
      </c>
      <c r="AL3" t="str">
        <f>LU_TrimSizes[[#This Row],[Trim H Bleed (in)]]&amp;" ("&amp;LU_TrimSizes[[#This Row],[Trim H Bleed (cm)]]&amp;")"</f>
        <v>8.25" (20.955 cm)</v>
      </c>
      <c r="AM3" t="str">
        <f>ROUND(LU_TrimSizes[[#This Row],[Trim Width (in)]]*cm+blcmw, 5)&amp;" cm"</f>
        <v>13.0175 cm</v>
      </c>
      <c r="AN3" t="str">
        <f>ROUND(LU_TrimSizes[[#This Row],[Trim Height (in)]]*cm+blcmh, 5)&amp;" cm"</f>
        <v>20.955 cm</v>
      </c>
      <c r="AO3" t="str">
        <f>LU_TrimSizes[[#This Row],[Trim W Bleed (in)]]&amp;" x "&amp;LU_TrimSizes[[#This Row],[Trim H Bleed (in)]]</f>
        <v>5.125" x 8.25"</v>
      </c>
      <c r="AP3" t="str">
        <f>LU_TrimSizes[[#This Row],[Trim W Bleed (cm)]]&amp;" x "&amp;LU_TrimSizes[[#This Row],[Trim H Bleed (cm)]]</f>
        <v>13.0175 cm x 20.955 cm</v>
      </c>
      <c r="AQ3" s="13">
        <f>ROUND(LU_TrimSizes[[#This Row],[Trim Width (in)]]-GutterINmath-MarginOinMath, 5)</f>
        <v>4.375</v>
      </c>
      <c r="AR3" s="13">
        <f>ROUND(LU_TrimSizes[[#This Row],[Trim Width (cm)]]-GutterCMmath-MarginOcmMath, 5)</f>
        <v>11.112500000000001</v>
      </c>
      <c r="AS3" s="13" t="str">
        <f>LU_TrimSizes[[#This Row],[Manuscript Safe Zone W in]]&amp;""" ("&amp;LU_TrimSizes[[#This Row],[Manuscript Safe Zone W cm]]&amp;" cm)"</f>
        <v>4.375" (11.1125 cm)</v>
      </c>
      <c r="AT3" s="13">
        <f>ROUND(LU_TrimSizes[[#This Row],[Trim Height (in)]]-MarginOinMath-MarginOinMath, 5)</f>
        <v>7.5</v>
      </c>
      <c r="AU3" s="13">
        <f>ROUND(LU_TrimSizes[[#This Row],[Trim Height (cm)]]-MarginOcmMath-MarginOcmMath, 5)</f>
        <v>19.05</v>
      </c>
      <c r="AV3" s="13" t="str">
        <f>LU_TrimSizes[[#This Row],[Manuscript Safe Zone H in]]&amp;""" ("&amp;LU_TrimSizes[[#This Row],[Manuscript Safe Zone H (cm)]]&amp;" cm)"</f>
        <v>7.5" (19.05 cm)</v>
      </c>
      <c r="AW3" s="13" t="str">
        <f>LU_TrimSizes[[#This Row],[Manuscript Safe Zone W in]]&amp;""" x "&amp;LU_TrimSizes[[#This Row],[Manuscript Safe Zone H in]]&amp;""""</f>
        <v>4.375" x 7.5"</v>
      </c>
      <c r="AX3" s="13" t="str">
        <f>LU_TrimSizes[[#This Row],[Manuscript Safe Zone W cm]]&amp;" cm x "&amp;LU_TrimSizes[[#This Row],[Manuscript Safe Zone H (cm)]]&amp;" cm"</f>
        <v>11.1125 cm x 19.05 cm</v>
      </c>
      <c r="AY3" s="13">
        <f>ROUND(CBleedLin+LU_TrimSizes[[#This Row],[Trim Width (in)]]+SpineWidthInMath+LU_TrimSizes[[#This Row],[Trim Width (in)]]+CBleedRIn, 5)</f>
        <v>11.0825</v>
      </c>
      <c r="AZ3" s="13">
        <f>ROUND(LU_TrimSizes[[#This Row],[Trim Width (cm)]]+CBleedLcm+SpineWidthCmMath+CBleedRcm+LU_TrimSizes[[#This Row],[Trim Width (cm)]], 5)</f>
        <v>28.149550000000001</v>
      </c>
      <c r="BA3" s="13" t="str">
        <f>LU_TrimSizes[[#This Row],[Cover W In]]&amp;""" ("&amp;LU_TrimSizes[[#This Row],[Cover W (cm)]]&amp;" cm)"</f>
        <v>11.0825" (28.14955 cm)</v>
      </c>
      <c r="BB3" s="13">
        <f>ROUND(CBleedTIn+LU_TrimSizes[[#This Row],[Trim Height (in)]]+CBleedBIn, 5)</f>
        <v>8.25</v>
      </c>
      <c r="BC3" s="13">
        <f>ROUND(CBleedTcm+LU_TrimSizes[[#This Row],[Trim Height (cm)]]+CBleedBcm, 5)</f>
        <v>20.954999999999998</v>
      </c>
      <c r="BD3" s="13" t="str">
        <f>LU_TrimSizes[[#This Row],[Cover Height In]]&amp;""" ("&amp;LU_TrimSizes[[#This Row],[Cover Height CM]]&amp;" cm)"</f>
        <v>8.25" (20.955 cm)</v>
      </c>
      <c r="BE3" s="13" t="str">
        <f>LU_TrimSizes[[#This Row],[Cover W In]]&amp;""" x "&amp;LU_TrimSizes[[#This Row],[Cover Height In]]&amp;""""</f>
        <v>11.0825" x 8.25"</v>
      </c>
      <c r="BF3" s="13" t="str">
        <f>LU_TrimSizes[[#This Row],[Cover W (cm)]]&amp;" cm x "&amp;LU_TrimSizes[[#This Row],[Cover Height CM]]&amp;" cm"</f>
        <v>28.14955 cm x 20.955 cm</v>
      </c>
      <c r="BG3" s="13">
        <f>ROUND(LU_TrimSizes[[#This Row],[Cover W In]]-0.5, 5)</f>
        <v>10.5825</v>
      </c>
      <c r="BH3" s="13">
        <f>ROUND(LU_TrimSizes[[#This Row],[Cover W (cm)]]-1.27, 5)</f>
        <v>26.879549999999998</v>
      </c>
      <c r="BI3" s="13" t="str">
        <f>LU_TrimSizes[[#This Row],[Cover Safe Zone W (in)]]&amp;""" ("&amp;LU_TrimSizes[[#This Row],[Cover Safe Zone W cm]]&amp;" cm)"</f>
        <v>10.5825" (26.87955 cm)</v>
      </c>
      <c r="BJ3" s="13" t="str">
        <f>LU_TrimSizes[[#This Row],[Cover Safe Zone H in]]&amp;""" ("&amp;LU_TrimSizes[[#This Row],[Cover Safe Zone H cm]]&amp;" cm)"</f>
        <v>7.75" (19.685 cm)</v>
      </c>
      <c r="BK3" s="13">
        <f>ROUND(LU_TrimSizes[[#This Row],[Cover Height In]]-0.5, 5)</f>
        <v>7.75</v>
      </c>
      <c r="BL3" s="13">
        <f>ROUND(LU_TrimSizes[[#This Row],[Cover Height CM]]-1.27, 5)</f>
        <v>19.684999999999999</v>
      </c>
      <c r="BM3" s="13" t="str">
        <f>LU_TrimSizes[[#This Row],[Cover Safe Zone W (in)]]&amp;""" x "&amp;LU_TrimSizes[[#This Row],[Cover Safe Zone H in]]&amp;""""</f>
        <v>10.5825" x 7.75"</v>
      </c>
      <c r="BN3" s="13" t="str">
        <f>LU_TrimSizes[[#This Row],[Cover Safe Zone W cm]]&amp;" cm x "&amp;LU_TrimSizes[[#This Row],[Cover Safe Zone H cm]]&amp;" cm"</f>
        <v>26.87955 cm x 19.685 cm</v>
      </c>
      <c r="BO3" s="33">
        <v>776</v>
      </c>
      <c r="BP3" s="33">
        <v>828</v>
      </c>
      <c r="BQ3" s="34">
        <v>828</v>
      </c>
    </row>
    <row r="4" spans="1:69">
      <c r="A4">
        <v>2</v>
      </c>
      <c r="B4" s="1" t="s">
        <v>17</v>
      </c>
      <c r="C4" s="1" t="s">
        <v>18</v>
      </c>
      <c r="D4" s="1" t="s">
        <v>19</v>
      </c>
      <c r="E4" s="3" t="s">
        <v>47</v>
      </c>
      <c r="F4" s="1"/>
      <c r="G4" s="6" t="str">
        <f>LU_InkPaper[[#This Row],[Ink]]&amp;" &amp; "&amp;LU_InkPaper[[#This Row],[Paper]]</f>
        <v>Color Ink &amp; White Paper</v>
      </c>
      <c r="H4" t="s">
        <v>14</v>
      </c>
      <c r="I4" t="s">
        <v>113</v>
      </c>
      <c r="J4">
        <v>2.3470000000000001E-3</v>
      </c>
      <c r="K4">
        <f>ROUND(J4*mm,5)</f>
        <v>5.9610000000000003E-2</v>
      </c>
      <c r="L4">
        <f>ROUND(LU_InkPaper[[#This Row],[Page thickness (Inches)]]*cm, 5)</f>
        <v>5.96E-3</v>
      </c>
      <c r="N4" t="s">
        <v>163</v>
      </c>
      <c r="O4" t="s">
        <v>164</v>
      </c>
      <c r="R4">
        <v>26</v>
      </c>
      <c r="S4">
        <v>0.375</v>
      </c>
      <c r="T4">
        <v>0.25</v>
      </c>
      <c r="U4">
        <v>0.375</v>
      </c>
      <c r="V4">
        <f t="shared" si="0"/>
        <v>9.5250000000000004</v>
      </c>
      <c r="W4" t="str">
        <f t="shared" si="1"/>
        <v>0.375" (9.525 mm)</v>
      </c>
      <c r="Y4" s="35" t="s">
        <v>244</v>
      </c>
      <c r="Z4">
        <v>5.0599999999999996</v>
      </c>
      <c r="AA4">
        <v>7.81</v>
      </c>
      <c r="AB4" t="s">
        <v>123</v>
      </c>
      <c r="AC4" s="5">
        <v>12.85</v>
      </c>
      <c r="AD4" s="5">
        <v>19.84</v>
      </c>
      <c r="AE4" t="s">
        <v>124</v>
      </c>
      <c r="AF4" t="str">
        <f t="shared" ref="AF4:AF16" si="2">AB4&amp;" "&amp;AE4</f>
        <v>5.06" x 7.81" (12.85 x 19.84 cm)</v>
      </c>
      <c r="AG4" t="str">
        <f>LU_TrimSizes[[#This Row],[Trim Width (in)]]&amp;""" ("&amp;LU_TrimSizes[[#This Row],[Trim Width (cm)]]&amp;" cm)"</f>
        <v>5.06" (12.85 cm)</v>
      </c>
      <c r="AH4" t="str">
        <f>LU_TrimSizes[[#This Row],[Trim Height (in)]]&amp;""" ("&amp;LU_TrimSizes[[#This Row],[Trim Height (cm)]]&amp;" cm)"</f>
        <v>7.81" (19.84 cm)</v>
      </c>
      <c r="AI4" t="str">
        <f>ROUND(LU_TrimSizes[[#This Row],[Trim Width (in)]]+0.125, 5)&amp;""""</f>
        <v>5.185"</v>
      </c>
      <c r="AJ4" t="str">
        <f>ROUND(LU_TrimSizes[[#This Row],[Trim Height (in)]]+0.25, 5)&amp;""""</f>
        <v>8.06"</v>
      </c>
      <c r="AK4" t="str">
        <f>LU_TrimSizes[[#This Row],[Trim W Bleed (in)]]&amp;" ("&amp;LU_TrimSizes[[#This Row],[Trim W Bleed (cm)]]&amp;")"</f>
        <v>5.185" (13.1699 cm)</v>
      </c>
      <c r="AL4" t="str">
        <f>LU_TrimSizes[[#This Row],[Trim H Bleed (in)]]&amp;" ("&amp;LU_TrimSizes[[#This Row],[Trim H Bleed (cm)]]&amp;")"</f>
        <v>8.06" (20.4724 cm)</v>
      </c>
      <c r="AM4" t="str">
        <f>ROUND(LU_TrimSizes[[#This Row],[Trim Width (in)]]*cm+blcmw, 5)&amp;" cm"</f>
        <v>13.1699 cm</v>
      </c>
      <c r="AN4" t="str">
        <f>ROUND(LU_TrimSizes[[#This Row],[Trim Height (in)]]*cm+blcmh, 5)&amp;" cm"</f>
        <v>20.4724 cm</v>
      </c>
      <c r="AO4" t="str">
        <f>LU_TrimSizes[[#This Row],[Trim W Bleed (in)]]&amp;" x "&amp;LU_TrimSizes[[#This Row],[Trim H Bleed (in)]]</f>
        <v>5.185" x 8.06"</v>
      </c>
      <c r="AP4" t="str">
        <f>LU_TrimSizes[[#This Row],[Trim W Bleed (cm)]]&amp;" x "&amp;LU_TrimSizes[[#This Row],[Trim H Bleed (cm)]]</f>
        <v>13.1699 cm x 20.4724 cm</v>
      </c>
      <c r="AQ4" s="13">
        <f>ROUND(LU_TrimSizes[[#This Row],[Trim Width (in)]]-GutterINmath-MarginOinMath, 5)</f>
        <v>4.4349999999999996</v>
      </c>
      <c r="AR4" s="13">
        <f>ROUND(LU_TrimSizes[[#This Row],[Trim Width (cm)]]-GutterCMmath-MarginOcmMath, 5)</f>
        <v>11.262499999999999</v>
      </c>
      <c r="AS4" s="13" t="str">
        <f>LU_TrimSizes[[#This Row],[Manuscript Safe Zone W in]]&amp;""" ("&amp;LU_TrimSizes[[#This Row],[Manuscript Safe Zone W cm]]&amp;" cm)"</f>
        <v>4.435" (11.2625 cm)</v>
      </c>
      <c r="AT4" s="13">
        <f>ROUND(LU_TrimSizes[[#This Row],[Trim Height (in)]]-MarginOinMath-MarginOinMath, 5)</f>
        <v>7.31</v>
      </c>
      <c r="AU4" s="13">
        <f>ROUND(LU_TrimSizes[[#This Row],[Trim Height (cm)]]-MarginOcmMath-MarginOcmMath, 5)</f>
        <v>18.57</v>
      </c>
      <c r="AV4" s="13" t="str">
        <f>LU_TrimSizes[[#This Row],[Manuscript Safe Zone H in]]&amp;""" ("&amp;LU_TrimSizes[[#This Row],[Manuscript Safe Zone H (cm)]]&amp;" cm)"</f>
        <v>7.31" (18.57 cm)</v>
      </c>
      <c r="AW4" s="13" t="str">
        <f>LU_TrimSizes[[#This Row],[Manuscript Safe Zone W in]]&amp;""" x "&amp;LU_TrimSizes[[#This Row],[Manuscript Safe Zone H in]]&amp;""""</f>
        <v>4.435" x 7.31"</v>
      </c>
      <c r="AX4" s="13" t="str">
        <f>LU_TrimSizes[[#This Row],[Manuscript Safe Zone W cm]]&amp;" cm x "&amp;LU_TrimSizes[[#This Row],[Manuscript Safe Zone H (cm)]]&amp;" cm"</f>
        <v>11.2625 cm x 18.57 cm</v>
      </c>
      <c r="AY4" s="13">
        <f>ROUND(CBleedLin+LU_TrimSizes[[#This Row],[Trim Width (in)]]+SpineWidthInMath+LU_TrimSizes[[#This Row],[Trim Width (in)]]+CBleedRIn, 5)</f>
        <v>11.202500000000001</v>
      </c>
      <c r="AZ4" s="13">
        <f>ROUND(LU_TrimSizes[[#This Row],[Trim Width (cm)]]+CBleedLcm+SpineWidthCmMath+CBleedRcm+LU_TrimSizes[[#This Row],[Trim Width (cm)]], 5)</f>
        <v>28.449549999999999</v>
      </c>
      <c r="BA4" s="13" t="str">
        <f>LU_TrimSizes[[#This Row],[Cover W In]]&amp;""" ("&amp;LU_TrimSizes[[#This Row],[Cover W (cm)]]&amp;" cm)"</f>
        <v>11.2025" (28.44955 cm)</v>
      </c>
      <c r="BB4" s="13">
        <f>ROUND(CBleedTIn+LU_TrimSizes[[#This Row],[Trim Height (in)]]+CBleedBIn, 5)</f>
        <v>8.06</v>
      </c>
      <c r="BC4" s="13">
        <f>ROUND(CBleedTcm+LU_TrimSizes[[#This Row],[Trim Height (cm)]]+CBleedBcm, 5)</f>
        <v>20.475000000000001</v>
      </c>
      <c r="BD4" s="13" t="str">
        <f>LU_TrimSizes[[#This Row],[Cover Height In]]&amp;""" ("&amp;LU_TrimSizes[[#This Row],[Cover Height CM]]&amp;" cm)"</f>
        <v>8.06" (20.475 cm)</v>
      </c>
      <c r="BE4" s="13" t="str">
        <f>LU_TrimSizes[[#This Row],[Cover W In]]&amp;""" x "&amp;LU_TrimSizes[[#This Row],[Cover Height In]]&amp;""""</f>
        <v>11.2025" x 8.06"</v>
      </c>
      <c r="BF4" s="13" t="str">
        <f>LU_TrimSizes[[#This Row],[Cover W (cm)]]&amp;" cm x "&amp;LU_TrimSizes[[#This Row],[Cover Height CM]]&amp;" cm"</f>
        <v>28.44955 cm x 20.475 cm</v>
      </c>
      <c r="BG4" s="13">
        <f>ROUND(LU_TrimSizes[[#This Row],[Cover W In]]-0.5, 5)</f>
        <v>10.702500000000001</v>
      </c>
      <c r="BH4" s="13">
        <f>ROUND(LU_TrimSizes[[#This Row],[Cover W (cm)]]-1.27, 5)</f>
        <v>27.179549999999999</v>
      </c>
      <c r="BI4" s="13" t="str">
        <f>LU_TrimSizes[[#This Row],[Cover Safe Zone W (in)]]&amp;""" ("&amp;LU_TrimSizes[[#This Row],[Cover Safe Zone W cm]]&amp;" cm)"</f>
        <v>10.7025" (27.17955 cm)</v>
      </c>
      <c r="BJ4" s="13" t="str">
        <f>LU_TrimSizes[[#This Row],[Cover Safe Zone H in]]&amp;""" ("&amp;LU_TrimSizes[[#This Row],[Cover Safe Zone H cm]]&amp;" cm)"</f>
        <v>7.56" (19.205 cm)</v>
      </c>
      <c r="BK4" s="13">
        <f>ROUND(LU_TrimSizes[[#This Row],[Cover Height In]]-0.5, 5)</f>
        <v>7.56</v>
      </c>
      <c r="BL4" s="13">
        <f>ROUND(LU_TrimSizes[[#This Row],[Cover Height CM]]-1.27, 5)</f>
        <v>19.204999999999998</v>
      </c>
      <c r="BM4" s="13" t="str">
        <f>LU_TrimSizes[[#This Row],[Cover Safe Zone W (in)]]&amp;""" x "&amp;LU_TrimSizes[[#This Row],[Cover Safe Zone H in]]&amp;""""</f>
        <v>10.7025" x 7.56"</v>
      </c>
      <c r="BN4" s="13" t="str">
        <f>LU_TrimSizes[[#This Row],[Cover Safe Zone W cm]]&amp;" cm x "&amp;LU_TrimSizes[[#This Row],[Cover Safe Zone H cm]]&amp;" cm"</f>
        <v>27.17955 cm x 19.205 cm</v>
      </c>
      <c r="BO4" s="36">
        <v>776</v>
      </c>
      <c r="BP4" s="36">
        <v>828</v>
      </c>
      <c r="BQ4" s="37">
        <v>828</v>
      </c>
    </row>
    <row r="5" spans="1:69">
      <c r="A5">
        <v>3</v>
      </c>
      <c r="B5" s="1" t="s">
        <v>17</v>
      </c>
      <c r="C5" s="1" t="s">
        <v>18</v>
      </c>
      <c r="D5" s="1" t="s">
        <v>46</v>
      </c>
      <c r="E5" s="1"/>
      <c r="F5" s="1"/>
      <c r="G5" s="1"/>
      <c r="M5" t="s">
        <v>161</v>
      </c>
      <c r="N5">
        <v>0.125</v>
      </c>
      <c r="O5">
        <v>0.25</v>
      </c>
      <c r="R5">
        <v>27</v>
      </c>
      <c r="S5">
        <v>0.375</v>
      </c>
      <c r="T5">
        <v>0.25</v>
      </c>
      <c r="U5">
        <v>0.375</v>
      </c>
      <c r="V5">
        <f t="shared" si="0"/>
        <v>9.5250000000000004</v>
      </c>
      <c r="W5" t="str">
        <f t="shared" si="1"/>
        <v>0.375" (9.525 mm)</v>
      </c>
      <c r="Y5" s="35" t="s">
        <v>245</v>
      </c>
      <c r="Z5">
        <v>5.25</v>
      </c>
      <c r="AA5">
        <v>8</v>
      </c>
      <c r="AB5" t="s">
        <v>125</v>
      </c>
      <c r="AC5" s="5">
        <v>13.34</v>
      </c>
      <c r="AD5" s="5">
        <v>20.32</v>
      </c>
      <c r="AE5" t="s">
        <v>126</v>
      </c>
      <c r="AF5" t="str">
        <f t="shared" si="2"/>
        <v>5.25" x 8" (13.34 x 20.32 cm)</v>
      </c>
      <c r="AG5" t="str">
        <f>LU_TrimSizes[[#This Row],[Trim Width (in)]]&amp;""" ("&amp;LU_TrimSizes[[#This Row],[Trim Width (cm)]]&amp;" cm)"</f>
        <v>5.25" (13.34 cm)</v>
      </c>
      <c r="AH5" t="str">
        <f>LU_TrimSizes[[#This Row],[Trim Height (in)]]&amp;""" ("&amp;LU_TrimSizes[[#This Row],[Trim Height (cm)]]&amp;" cm)"</f>
        <v>8" (20.32 cm)</v>
      </c>
      <c r="AI5" t="str">
        <f>ROUND(LU_TrimSizes[[#This Row],[Trim Width (in)]]+0.125, 5)&amp;""""</f>
        <v>5.375"</v>
      </c>
      <c r="AJ5" t="str">
        <f>ROUND(LU_TrimSizes[[#This Row],[Trim Height (in)]]+0.25, 5)&amp;""""</f>
        <v>8.25"</v>
      </c>
      <c r="AK5" t="str">
        <f>LU_TrimSizes[[#This Row],[Trim W Bleed (in)]]&amp;" ("&amp;LU_TrimSizes[[#This Row],[Trim W Bleed (cm)]]&amp;")"</f>
        <v>5.375" (13.6525 cm)</v>
      </c>
      <c r="AL5" t="str">
        <f>LU_TrimSizes[[#This Row],[Trim H Bleed (in)]]&amp;" ("&amp;LU_TrimSizes[[#This Row],[Trim H Bleed (cm)]]&amp;")"</f>
        <v>8.25" (20.955 cm)</v>
      </c>
      <c r="AM5" t="str">
        <f>ROUND(LU_TrimSizes[[#This Row],[Trim Width (in)]]*cm+blcmw, 5)&amp;" cm"</f>
        <v>13.6525 cm</v>
      </c>
      <c r="AN5" t="str">
        <f>ROUND(LU_TrimSizes[[#This Row],[Trim Height (in)]]*cm+blcmh, 5)&amp;" cm"</f>
        <v>20.955 cm</v>
      </c>
      <c r="AO5" t="str">
        <f>LU_TrimSizes[[#This Row],[Trim W Bleed (in)]]&amp;" x "&amp;LU_TrimSizes[[#This Row],[Trim H Bleed (in)]]</f>
        <v>5.375" x 8.25"</v>
      </c>
      <c r="AP5" t="str">
        <f>LU_TrimSizes[[#This Row],[Trim W Bleed (cm)]]&amp;" x "&amp;LU_TrimSizes[[#This Row],[Trim H Bleed (cm)]]</f>
        <v>13.6525 cm x 20.955 cm</v>
      </c>
      <c r="AQ5" s="13">
        <f>ROUND(LU_TrimSizes[[#This Row],[Trim Width (in)]]-GutterINmath-MarginOinMath, 5)</f>
        <v>4.625</v>
      </c>
      <c r="AR5" s="13">
        <f>ROUND(LU_TrimSizes[[#This Row],[Trim Width (cm)]]-GutterCMmath-MarginOcmMath, 5)</f>
        <v>11.7525</v>
      </c>
      <c r="AS5" s="13" t="str">
        <f>LU_TrimSizes[[#This Row],[Manuscript Safe Zone W in]]&amp;""" ("&amp;LU_TrimSizes[[#This Row],[Manuscript Safe Zone W cm]]&amp;" cm)"</f>
        <v>4.625" (11.7525 cm)</v>
      </c>
      <c r="AT5" s="13">
        <f>ROUND(LU_TrimSizes[[#This Row],[Trim Height (in)]]-MarginOinMath-MarginOinMath, 5)</f>
        <v>7.5</v>
      </c>
      <c r="AU5" s="13">
        <f>ROUND(LU_TrimSizes[[#This Row],[Trim Height (cm)]]-MarginOcmMath-MarginOcmMath, 5)</f>
        <v>19.05</v>
      </c>
      <c r="AV5" s="13" t="str">
        <f>LU_TrimSizes[[#This Row],[Manuscript Safe Zone H in]]&amp;""" ("&amp;LU_TrimSizes[[#This Row],[Manuscript Safe Zone H (cm)]]&amp;" cm)"</f>
        <v>7.5" (19.05 cm)</v>
      </c>
      <c r="AW5" s="13" t="str">
        <f>LU_TrimSizes[[#This Row],[Manuscript Safe Zone W in]]&amp;""" x "&amp;LU_TrimSizes[[#This Row],[Manuscript Safe Zone H in]]&amp;""""</f>
        <v>4.625" x 7.5"</v>
      </c>
      <c r="AX5" s="13" t="str">
        <f>LU_TrimSizes[[#This Row],[Manuscript Safe Zone W cm]]&amp;" cm x "&amp;LU_TrimSizes[[#This Row],[Manuscript Safe Zone H (cm)]]&amp;" cm"</f>
        <v>11.7525 cm x 19.05 cm</v>
      </c>
      <c r="AY5" s="13">
        <f>ROUND(CBleedLin+LU_TrimSizes[[#This Row],[Trim Width (in)]]+SpineWidthInMath+LU_TrimSizes[[#This Row],[Trim Width (in)]]+CBleedRIn, 5)</f>
        <v>11.5825</v>
      </c>
      <c r="AZ5" s="13">
        <f>ROUND(LU_TrimSizes[[#This Row],[Trim Width (cm)]]+CBleedLcm+SpineWidthCmMath+CBleedRcm+LU_TrimSizes[[#This Row],[Trim Width (cm)]], 5)</f>
        <v>29.429549999999999</v>
      </c>
      <c r="BA5" s="13" t="str">
        <f>LU_TrimSizes[[#This Row],[Cover W In]]&amp;""" ("&amp;LU_TrimSizes[[#This Row],[Cover W (cm)]]&amp;" cm)"</f>
        <v>11.5825" (29.42955 cm)</v>
      </c>
      <c r="BB5" s="13">
        <f>ROUND(CBleedTIn+LU_TrimSizes[[#This Row],[Trim Height (in)]]+CBleedBIn, 5)</f>
        <v>8.25</v>
      </c>
      <c r="BC5" s="13">
        <f>ROUND(CBleedTcm+LU_TrimSizes[[#This Row],[Trim Height (cm)]]+CBleedBcm, 5)</f>
        <v>20.954999999999998</v>
      </c>
      <c r="BD5" s="13" t="str">
        <f>LU_TrimSizes[[#This Row],[Cover Height In]]&amp;""" ("&amp;LU_TrimSizes[[#This Row],[Cover Height CM]]&amp;" cm)"</f>
        <v>8.25" (20.955 cm)</v>
      </c>
      <c r="BE5" s="13" t="str">
        <f>LU_TrimSizes[[#This Row],[Cover W In]]&amp;""" x "&amp;LU_TrimSizes[[#This Row],[Cover Height In]]&amp;""""</f>
        <v>11.5825" x 8.25"</v>
      </c>
      <c r="BF5" s="13" t="str">
        <f>LU_TrimSizes[[#This Row],[Cover W (cm)]]&amp;" cm x "&amp;LU_TrimSizes[[#This Row],[Cover Height CM]]&amp;" cm"</f>
        <v>29.42955 cm x 20.955 cm</v>
      </c>
      <c r="BG5" s="13">
        <f>ROUND(LU_TrimSizes[[#This Row],[Cover W In]]-0.5, 5)</f>
        <v>11.0825</v>
      </c>
      <c r="BH5" s="13">
        <f>ROUND(LU_TrimSizes[[#This Row],[Cover W (cm)]]-1.27, 5)</f>
        <v>28.159549999999999</v>
      </c>
      <c r="BI5" s="13" t="str">
        <f>LU_TrimSizes[[#This Row],[Cover Safe Zone W (in)]]&amp;""" ("&amp;LU_TrimSizes[[#This Row],[Cover Safe Zone W cm]]&amp;" cm)"</f>
        <v>11.0825" (28.15955 cm)</v>
      </c>
      <c r="BJ5" s="13" t="str">
        <f>LU_TrimSizes[[#This Row],[Cover Safe Zone H in]]&amp;""" ("&amp;LU_TrimSizes[[#This Row],[Cover Safe Zone H cm]]&amp;" cm)"</f>
        <v>7.75" (19.685 cm)</v>
      </c>
      <c r="BK5" s="13">
        <f>ROUND(LU_TrimSizes[[#This Row],[Cover Height In]]-0.5, 5)</f>
        <v>7.75</v>
      </c>
      <c r="BL5" s="13">
        <f>ROUND(LU_TrimSizes[[#This Row],[Cover Height CM]]-1.27, 5)</f>
        <v>19.684999999999999</v>
      </c>
      <c r="BM5" s="13" t="str">
        <f>LU_TrimSizes[[#This Row],[Cover Safe Zone W (in)]]&amp;""" x "&amp;LU_TrimSizes[[#This Row],[Cover Safe Zone H in]]&amp;""""</f>
        <v>11.0825" x 7.75"</v>
      </c>
      <c r="BN5" s="13" t="str">
        <f>LU_TrimSizes[[#This Row],[Cover Safe Zone W cm]]&amp;" cm x "&amp;LU_TrimSizes[[#This Row],[Cover Safe Zone H cm]]&amp;" cm"</f>
        <v>28.15955 cm x 19.685 cm</v>
      </c>
      <c r="BO5" s="36">
        <v>776</v>
      </c>
      <c r="BP5" s="36">
        <v>828</v>
      </c>
      <c r="BQ5" s="37">
        <v>828</v>
      </c>
    </row>
    <row r="6" spans="1:69">
      <c r="A6">
        <v>4</v>
      </c>
      <c r="B6" s="1" t="s">
        <v>17</v>
      </c>
      <c r="C6" s="1" t="s">
        <v>18</v>
      </c>
      <c r="D6" s="1" t="s">
        <v>15</v>
      </c>
      <c r="E6" s="3" t="s">
        <v>48</v>
      </c>
      <c r="F6" s="1"/>
      <c r="G6" s="1"/>
      <c r="M6" t="s">
        <v>5</v>
      </c>
      <c r="N6">
        <f>N5*cm</f>
        <v>0.3175</v>
      </c>
      <c r="O6">
        <f>O5*cm</f>
        <v>0.63500000000000001</v>
      </c>
      <c r="R6">
        <v>28</v>
      </c>
      <c r="S6">
        <v>0.375</v>
      </c>
      <c r="T6">
        <v>0.25</v>
      </c>
      <c r="U6">
        <v>0.375</v>
      </c>
      <c r="V6">
        <f t="shared" si="0"/>
        <v>9.5250000000000004</v>
      </c>
      <c r="W6" t="str">
        <f t="shared" si="1"/>
        <v>0.375" (9.525 mm)</v>
      </c>
      <c r="Y6" s="35" t="s">
        <v>246</v>
      </c>
      <c r="Z6">
        <v>5.5</v>
      </c>
      <c r="AA6">
        <v>8.5</v>
      </c>
      <c r="AB6" t="s">
        <v>127</v>
      </c>
      <c r="AC6" s="5">
        <v>13.97</v>
      </c>
      <c r="AD6" s="5">
        <v>21.59</v>
      </c>
      <c r="AE6" t="s">
        <v>128</v>
      </c>
      <c r="AF6" t="str">
        <f t="shared" si="2"/>
        <v>5.5" x 8.5" (13.97 x 21.59 cm)</v>
      </c>
      <c r="AG6" t="str">
        <f>LU_TrimSizes[[#This Row],[Trim Width (in)]]&amp;""" ("&amp;LU_TrimSizes[[#This Row],[Trim Width (cm)]]&amp;" cm)"</f>
        <v>5.5" (13.97 cm)</v>
      </c>
      <c r="AH6" t="str">
        <f>LU_TrimSizes[[#This Row],[Trim Height (in)]]&amp;""" ("&amp;LU_TrimSizes[[#This Row],[Trim Height (cm)]]&amp;" cm)"</f>
        <v>8.5" (21.59 cm)</v>
      </c>
      <c r="AI6" t="str">
        <f>ROUND(LU_TrimSizes[[#This Row],[Trim Width (in)]]+0.125, 5)&amp;""""</f>
        <v>5.625"</v>
      </c>
      <c r="AJ6" t="str">
        <f>ROUND(LU_TrimSizes[[#This Row],[Trim Height (in)]]+0.25, 5)&amp;""""</f>
        <v>8.75"</v>
      </c>
      <c r="AK6" t="str">
        <f>LU_TrimSizes[[#This Row],[Trim W Bleed (in)]]&amp;" ("&amp;LU_TrimSizes[[#This Row],[Trim W Bleed (cm)]]&amp;")"</f>
        <v>5.625" (14.2875 cm)</v>
      </c>
      <c r="AL6" t="str">
        <f>LU_TrimSizes[[#This Row],[Trim H Bleed (in)]]&amp;" ("&amp;LU_TrimSizes[[#This Row],[Trim H Bleed (cm)]]&amp;")"</f>
        <v>8.75" (22.225 cm)</v>
      </c>
      <c r="AM6" t="str">
        <f>ROUND(LU_TrimSizes[[#This Row],[Trim Width (in)]]*cm+blcmw, 5)&amp;" cm"</f>
        <v>14.2875 cm</v>
      </c>
      <c r="AN6" t="str">
        <f>ROUND(LU_TrimSizes[[#This Row],[Trim Height (in)]]*cm+blcmh, 5)&amp;" cm"</f>
        <v>22.225 cm</v>
      </c>
      <c r="AO6" t="str">
        <f>LU_TrimSizes[[#This Row],[Trim W Bleed (in)]]&amp;" x "&amp;LU_TrimSizes[[#This Row],[Trim H Bleed (in)]]</f>
        <v>5.625" x 8.75"</v>
      </c>
      <c r="AP6" t="str">
        <f>LU_TrimSizes[[#This Row],[Trim W Bleed (cm)]]&amp;" x "&amp;LU_TrimSizes[[#This Row],[Trim H Bleed (cm)]]</f>
        <v>14.2875 cm x 22.225 cm</v>
      </c>
      <c r="AQ6" s="13">
        <f>ROUND(LU_TrimSizes[[#This Row],[Trim Width (in)]]-GutterINmath-MarginOinMath, 5)</f>
        <v>4.875</v>
      </c>
      <c r="AR6" s="13">
        <f>ROUND(LU_TrimSizes[[#This Row],[Trim Width (cm)]]-GutterCMmath-MarginOcmMath, 5)</f>
        <v>12.3825</v>
      </c>
      <c r="AS6" s="13" t="str">
        <f>LU_TrimSizes[[#This Row],[Manuscript Safe Zone W in]]&amp;""" ("&amp;LU_TrimSizes[[#This Row],[Manuscript Safe Zone W cm]]&amp;" cm)"</f>
        <v>4.875" (12.3825 cm)</v>
      </c>
      <c r="AT6" s="13">
        <f>ROUND(LU_TrimSizes[[#This Row],[Trim Height (in)]]-MarginOinMath-MarginOinMath, 5)</f>
        <v>8</v>
      </c>
      <c r="AU6" s="13">
        <f>ROUND(LU_TrimSizes[[#This Row],[Trim Height (cm)]]-MarginOcmMath-MarginOcmMath, 5)</f>
        <v>20.32</v>
      </c>
      <c r="AV6" s="13" t="str">
        <f>LU_TrimSizes[[#This Row],[Manuscript Safe Zone H in]]&amp;""" ("&amp;LU_TrimSizes[[#This Row],[Manuscript Safe Zone H (cm)]]&amp;" cm)"</f>
        <v>8" (20.32 cm)</v>
      </c>
      <c r="AW6" s="13" t="str">
        <f>LU_TrimSizes[[#This Row],[Manuscript Safe Zone W in]]&amp;""" x "&amp;LU_TrimSizes[[#This Row],[Manuscript Safe Zone H in]]&amp;""""</f>
        <v>4.875" x 8"</v>
      </c>
      <c r="AX6" s="13" t="str">
        <f>LU_TrimSizes[[#This Row],[Manuscript Safe Zone W cm]]&amp;" cm x "&amp;LU_TrimSizes[[#This Row],[Manuscript Safe Zone H (cm)]]&amp;" cm"</f>
        <v>12.3825 cm x 20.32 cm</v>
      </c>
      <c r="AY6" s="13">
        <f>ROUND(CBleedLin+LU_TrimSizes[[#This Row],[Trim Width (in)]]+SpineWidthInMath+LU_TrimSizes[[#This Row],[Trim Width (in)]]+CBleedRIn, 5)</f>
        <v>12.0825</v>
      </c>
      <c r="AZ6" s="13">
        <f>ROUND(LU_TrimSizes[[#This Row],[Trim Width (cm)]]+CBleedLcm+SpineWidthCmMath+CBleedRcm+LU_TrimSizes[[#This Row],[Trim Width (cm)]], 5)</f>
        <v>30.689550000000001</v>
      </c>
      <c r="BA6" s="13" t="str">
        <f>LU_TrimSizes[[#This Row],[Cover W In]]&amp;""" ("&amp;LU_TrimSizes[[#This Row],[Cover W (cm)]]&amp;" cm)"</f>
        <v>12.0825" (30.68955 cm)</v>
      </c>
      <c r="BB6" s="13">
        <f>ROUND(CBleedTIn+LU_TrimSizes[[#This Row],[Trim Height (in)]]+CBleedBIn, 5)</f>
        <v>8.75</v>
      </c>
      <c r="BC6" s="13">
        <f>ROUND(CBleedTcm+LU_TrimSizes[[#This Row],[Trim Height (cm)]]+CBleedBcm, 5)</f>
        <v>22.225000000000001</v>
      </c>
      <c r="BD6" s="13" t="str">
        <f>LU_TrimSizes[[#This Row],[Cover Height In]]&amp;""" ("&amp;LU_TrimSizes[[#This Row],[Cover Height CM]]&amp;" cm)"</f>
        <v>8.75" (22.225 cm)</v>
      </c>
      <c r="BE6" s="13" t="str">
        <f>LU_TrimSizes[[#This Row],[Cover W In]]&amp;""" x "&amp;LU_TrimSizes[[#This Row],[Cover Height In]]&amp;""""</f>
        <v>12.0825" x 8.75"</v>
      </c>
      <c r="BF6" s="13" t="str">
        <f>LU_TrimSizes[[#This Row],[Cover W (cm)]]&amp;" cm x "&amp;LU_TrimSizes[[#This Row],[Cover Height CM]]&amp;" cm"</f>
        <v>30.68955 cm x 22.225 cm</v>
      </c>
      <c r="BG6" s="13">
        <f>ROUND(LU_TrimSizes[[#This Row],[Cover W In]]-0.5, 5)</f>
        <v>11.5825</v>
      </c>
      <c r="BH6" s="13">
        <f>ROUND(LU_TrimSizes[[#This Row],[Cover W (cm)]]-1.27, 5)</f>
        <v>29.419550000000001</v>
      </c>
      <c r="BI6" s="13" t="str">
        <f>LU_TrimSizes[[#This Row],[Cover Safe Zone W (in)]]&amp;""" ("&amp;LU_TrimSizes[[#This Row],[Cover Safe Zone W cm]]&amp;" cm)"</f>
        <v>11.5825" (29.41955 cm)</v>
      </c>
      <c r="BJ6" s="13" t="str">
        <f>LU_TrimSizes[[#This Row],[Cover Safe Zone H in]]&amp;""" ("&amp;LU_TrimSizes[[#This Row],[Cover Safe Zone H cm]]&amp;" cm)"</f>
        <v>8.25" (20.955 cm)</v>
      </c>
      <c r="BK6" s="13">
        <f>ROUND(LU_TrimSizes[[#This Row],[Cover Height In]]-0.5, 5)</f>
        <v>8.25</v>
      </c>
      <c r="BL6" s="13">
        <f>ROUND(LU_TrimSizes[[#This Row],[Cover Height CM]]-1.27, 5)</f>
        <v>20.954999999999998</v>
      </c>
      <c r="BM6" s="13" t="str">
        <f>LU_TrimSizes[[#This Row],[Cover Safe Zone W (in)]]&amp;""" x "&amp;LU_TrimSizes[[#This Row],[Cover Safe Zone H in]]&amp;""""</f>
        <v>11.5825" x 8.25"</v>
      </c>
      <c r="BN6" s="13" t="str">
        <f>LU_TrimSizes[[#This Row],[Cover Safe Zone W cm]]&amp;" cm x "&amp;LU_TrimSizes[[#This Row],[Cover Safe Zone H cm]]&amp;" cm"</f>
        <v>29.41955 cm x 20.955 cm</v>
      </c>
      <c r="BO6" s="36">
        <v>776</v>
      </c>
      <c r="BP6" s="36">
        <v>828</v>
      </c>
      <c r="BQ6" s="37">
        <v>828</v>
      </c>
    </row>
    <row r="7" spans="1:69">
      <c r="A7">
        <v>5</v>
      </c>
      <c r="B7" s="1" t="s">
        <v>17</v>
      </c>
      <c r="C7" s="1" t="s">
        <v>18</v>
      </c>
      <c r="D7" s="1" t="s">
        <v>20</v>
      </c>
      <c r="E7" s="3" t="s">
        <v>50</v>
      </c>
      <c r="F7" s="1"/>
      <c r="G7" s="1" t="s">
        <v>200</v>
      </c>
      <c r="H7" s="1" t="s">
        <v>205</v>
      </c>
      <c r="I7" s="1" t="s">
        <v>207</v>
      </c>
      <c r="J7" s="1" t="s">
        <v>206</v>
      </c>
      <c r="M7" t="s">
        <v>6</v>
      </c>
      <c r="N7">
        <f>N5*mm</f>
        <v>3.1749999999999998</v>
      </c>
      <c r="O7">
        <f>O5*mm</f>
        <v>6.35</v>
      </c>
      <c r="R7">
        <v>29</v>
      </c>
      <c r="S7">
        <v>0.375</v>
      </c>
      <c r="T7">
        <v>0.25</v>
      </c>
      <c r="U7">
        <v>0.375</v>
      </c>
      <c r="V7">
        <f t="shared" si="0"/>
        <v>9.5250000000000004</v>
      </c>
      <c r="W7" t="str">
        <f t="shared" si="1"/>
        <v>0.375" (9.525 mm)</v>
      </c>
      <c r="Y7" s="35" t="s">
        <v>247</v>
      </c>
      <c r="Z7">
        <v>6</v>
      </c>
      <c r="AA7">
        <v>9</v>
      </c>
      <c r="AB7" t="s">
        <v>129</v>
      </c>
      <c r="AC7" s="5">
        <v>15.24</v>
      </c>
      <c r="AD7" s="5">
        <v>22.86</v>
      </c>
      <c r="AE7" t="s">
        <v>130</v>
      </c>
      <c r="AF7" t="str">
        <f t="shared" si="2"/>
        <v>6" x 9" (15.24 x 22.86 cm)</v>
      </c>
      <c r="AG7" t="str">
        <f>LU_TrimSizes[[#This Row],[Trim Width (in)]]&amp;""" ("&amp;LU_TrimSizes[[#This Row],[Trim Width (cm)]]&amp;" cm)"</f>
        <v>6" (15.24 cm)</v>
      </c>
      <c r="AH7" t="str">
        <f>LU_TrimSizes[[#This Row],[Trim Height (in)]]&amp;""" ("&amp;LU_TrimSizes[[#This Row],[Trim Height (cm)]]&amp;" cm)"</f>
        <v>9" (22.86 cm)</v>
      </c>
      <c r="AI7" t="str">
        <f>ROUND(LU_TrimSizes[[#This Row],[Trim Width (in)]]+0.125, 5)&amp;""""</f>
        <v>6.125"</v>
      </c>
      <c r="AJ7" t="str">
        <f>ROUND(LU_TrimSizes[[#This Row],[Trim Height (in)]]+0.25, 5)&amp;""""</f>
        <v>9.25"</v>
      </c>
      <c r="AK7" t="str">
        <f>LU_TrimSizes[[#This Row],[Trim W Bleed (in)]]&amp;" ("&amp;LU_TrimSizes[[#This Row],[Trim W Bleed (cm)]]&amp;")"</f>
        <v>6.125" (15.5575 cm)</v>
      </c>
      <c r="AL7" t="str">
        <f>LU_TrimSizes[[#This Row],[Trim H Bleed (in)]]&amp;" ("&amp;LU_TrimSizes[[#This Row],[Trim H Bleed (cm)]]&amp;")"</f>
        <v>9.25" (23.495 cm)</v>
      </c>
      <c r="AM7" t="str">
        <f>ROUND(LU_TrimSizes[[#This Row],[Trim Width (in)]]*cm+blcmw, 5)&amp;" cm"</f>
        <v>15.5575 cm</v>
      </c>
      <c r="AN7" t="str">
        <f>ROUND(LU_TrimSizes[[#This Row],[Trim Height (in)]]*cm+blcmh, 5)&amp;" cm"</f>
        <v>23.495 cm</v>
      </c>
      <c r="AO7" t="str">
        <f>LU_TrimSizes[[#This Row],[Trim W Bleed (in)]]&amp;" x "&amp;LU_TrimSizes[[#This Row],[Trim H Bleed (in)]]</f>
        <v>6.125" x 9.25"</v>
      </c>
      <c r="AP7" t="str">
        <f>LU_TrimSizes[[#This Row],[Trim W Bleed (cm)]]&amp;" x "&amp;LU_TrimSizes[[#This Row],[Trim H Bleed (cm)]]</f>
        <v>15.5575 cm x 23.495 cm</v>
      </c>
      <c r="AQ7" s="13">
        <f>ROUND(LU_TrimSizes[[#This Row],[Trim Width (in)]]-GutterINmath-MarginOinMath, 5)</f>
        <v>5.375</v>
      </c>
      <c r="AR7" s="13">
        <f>ROUND(LU_TrimSizes[[#This Row],[Trim Width (cm)]]-GutterCMmath-MarginOcmMath, 5)</f>
        <v>13.6525</v>
      </c>
      <c r="AS7" s="13" t="str">
        <f>LU_TrimSizes[[#This Row],[Manuscript Safe Zone W in]]&amp;""" ("&amp;LU_TrimSizes[[#This Row],[Manuscript Safe Zone W cm]]&amp;" cm)"</f>
        <v>5.375" (13.6525 cm)</v>
      </c>
      <c r="AT7" s="13">
        <f>ROUND(LU_TrimSizes[[#This Row],[Trim Height (in)]]-MarginOinMath-MarginOinMath, 5)</f>
        <v>8.5</v>
      </c>
      <c r="AU7" s="13">
        <f>ROUND(LU_TrimSizes[[#This Row],[Trim Height (cm)]]-MarginOcmMath-MarginOcmMath, 5)</f>
        <v>21.59</v>
      </c>
      <c r="AV7" s="13" t="str">
        <f>LU_TrimSizes[[#This Row],[Manuscript Safe Zone H in]]&amp;""" ("&amp;LU_TrimSizes[[#This Row],[Manuscript Safe Zone H (cm)]]&amp;" cm)"</f>
        <v>8.5" (21.59 cm)</v>
      </c>
      <c r="AW7" s="13" t="str">
        <f>LU_TrimSizes[[#This Row],[Manuscript Safe Zone W in]]&amp;""" x "&amp;LU_TrimSizes[[#This Row],[Manuscript Safe Zone H in]]&amp;""""</f>
        <v>5.375" x 8.5"</v>
      </c>
      <c r="AX7" s="13" t="str">
        <f>LU_TrimSizes[[#This Row],[Manuscript Safe Zone W cm]]&amp;" cm x "&amp;LU_TrimSizes[[#This Row],[Manuscript Safe Zone H (cm)]]&amp;" cm"</f>
        <v>13.6525 cm x 21.59 cm</v>
      </c>
      <c r="AY7" s="13">
        <f>ROUND(CBleedLin+LU_TrimSizes[[#This Row],[Trim Width (in)]]+SpineWidthInMath+LU_TrimSizes[[#This Row],[Trim Width (in)]]+CBleedRIn, 5)</f>
        <v>13.0825</v>
      </c>
      <c r="AZ7" s="13">
        <f>ROUND(LU_TrimSizes[[#This Row],[Trim Width (cm)]]+CBleedLcm+SpineWidthCmMath+CBleedRcm+LU_TrimSizes[[#This Row],[Trim Width (cm)]], 5)</f>
        <v>33.229550000000003</v>
      </c>
      <c r="BA7" s="13" t="str">
        <f>LU_TrimSizes[[#This Row],[Cover W In]]&amp;""" ("&amp;LU_TrimSizes[[#This Row],[Cover W (cm)]]&amp;" cm)"</f>
        <v>13.0825" (33.22955 cm)</v>
      </c>
      <c r="BB7" s="13">
        <f>ROUND(CBleedTIn+LU_TrimSizes[[#This Row],[Trim Height (in)]]+CBleedBIn, 5)</f>
        <v>9.25</v>
      </c>
      <c r="BC7" s="13">
        <f>ROUND(CBleedTcm+LU_TrimSizes[[#This Row],[Trim Height (cm)]]+CBleedBcm, 5)</f>
        <v>23.495000000000001</v>
      </c>
      <c r="BD7" s="13" t="str">
        <f>LU_TrimSizes[[#This Row],[Cover Height In]]&amp;""" ("&amp;LU_TrimSizes[[#This Row],[Cover Height CM]]&amp;" cm)"</f>
        <v>9.25" (23.495 cm)</v>
      </c>
      <c r="BE7" s="13" t="str">
        <f>LU_TrimSizes[[#This Row],[Cover W In]]&amp;""" x "&amp;LU_TrimSizes[[#This Row],[Cover Height In]]&amp;""""</f>
        <v>13.0825" x 9.25"</v>
      </c>
      <c r="BF7" s="13" t="str">
        <f>LU_TrimSizes[[#This Row],[Cover W (cm)]]&amp;" cm x "&amp;LU_TrimSizes[[#This Row],[Cover Height CM]]&amp;" cm"</f>
        <v>33.22955 cm x 23.495 cm</v>
      </c>
      <c r="BG7" s="13">
        <f>ROUND(LU_TrimSizes[[#This Row],[Cover W In]]-0.5, 5)</f>
        <v>12.5825</v>
      </c>
      <c r="BH7" s="13">
        <f>ROUND(LU_TrimSizes[[#This Row],[Cover W (cm)]]-1.27, 5)</f>
        <v>31.95955</v>
      </c>
      <c r="BI7" s="13" t="str">
        <f>LU_TrimSizes[[#This Row],[Cover Safe Zone W (in)]]&amp;""" ("&amp;LU_TrimSizes[[#This Row],[Cover Safe Zone W cm]]&amp;" cm)"</f>
        <v>12.5825" (31.95955 cm)</v>
      </c>
      <c r="BJ7" s="13" t="str">
        <f>LU_TrimSizes[[#This Row],[Cover Safe Zone H in]]&amp;""" ("&amp;LU_TrimSizes[[#This Row],[Cover Safe Zone H cm]]&amp;" cm)"</f>
        <v>8.75" (22.225 cm)</v>
      </c>
      <c r="BK7" s="13">
        <f>ROUND(LU_TrimSizes[[#This Row],[Cover Height In]]-0.5, 5)</f>
        <v>8.75</v>
      </c>
      <c r="BL7" s="13">
        <f>ROUND(LU_TrimSizes[[#This Row],[Cover Height CM]]-1.27, 5)</f>
        <v>22.225000000000001</v>
      </c>
      <c r="BM7" s="13" t="str">
        <f>LU_TrimSizes[[#This Row],[Cover Safe Zone W (in)]]&amp;""" x "&amp;LU_TrimSizes[[#This Row],[Cover Safe Zone H in]]&amp;""""</f>
        <v>12.5825" x 8.75"</v>
      </c>
      <c r="BN7" s="13" t="str">
        <f>LU_TrimSizes[[#This Row],[Cover Safe Zone W cm]]&amp;" cm x "&amp;LU_TrimSizes[[#This Row],[Cover Safe Zone H cm]]&amp;" cm"</f>
        <v>31.95955 cm x 22.225 cm</v>
      </c>
      <c r="BO7" s="36">
        <v>776</v>
      </c>
      <c r="BP7" s="36">
        <v>828</v>
      </c>
      <c r="BQ7" s="37">
        <v>828</v>
      </c>
    </row>
    <row r="8" spans="1:69">
      <c r="A8">
        <v>6</v>
      </c>
      <c r="B8" s="1" t="s">
        <v>17</v>
      </c>
      <c r="C8" s="1" t="s">
        <v>18</v>
      </c>
      <c r="D8" s="1" t="s">
        <v>21</v>
      </c>
      <c r="E8" s="3" t="s">
        <v>49</v>
      </c>
      <c r="F8" s="1"/>
      <c r="G8" s="1" t="s">
        <v>201</v>
      </c>
      <c r="H8">
        <v>0.125</v>
      </c>
      <c r="I8">
        <f>ROUND(LU_CoverBleed[[#This Row],[Cover Bleed (In)]]*mm, 5)</f>
        <v>3.1749999999999998</v>
      </c>
      <c r="J8">
        <f>ROUND(LU_CoverBleed[[#This Row],[Cover Bleed (In)]]*cm, 5)</f>
        <v>0.3175</v>
      </c>
      <c r="M8" t="s">
        <v>162</v>
      </c>
      <c r="R8">
        <v>30</v>
      </c>
      <c r="S8">
        <v>0.375</v>
      </c>
      <c r="T8">
        <v>0.25</v>
      </c>
      <c r="U8">
        <v>0.375</v>
      </c>
      <c r="V8">
        <f t="shared" si="0"/>
        <v>9.5250000000000004</v>
      </c>
      <c r="W8" t="str">
        <f t="shared" si="1"/>
        <v>0.375" (9.525 mm)</v>
      </c>
      <c r="Y8" s="35" t="s">
        <v>248</v>
      </c>
      <c r="Z8">
        <v>6.14</v>
      </c>
      <c r="AA8">
        <v>9.2100000000000009</v>
      </c>
      <c r="AB8" t="s">
        <v>131</v>
      </c>
      <c r="AC8" s="5">
        <v>15.6</v>
      </c>
      <c r="AD8" s="5">
        <v>23.39</v>
      </c>
      <c r="AE8" t="s">
        <v>132</v>
      </c>
      <c r="AF8" t="str">
        <f t="shared" si="2"/>
        <v>6.14" x 9.21" (15.6 x 23.39 cm)</v>
      </c>
      <c r="AG8" t="str">
        <f>LU_TrimSizes[[#This Row],[Trim Width (in)]]&amp;""" ("&amp;LU_TrimSizes[[#This Row],[Trim Width (cm)]]&amp;" cm)"</f>
        <v>6.14" (15.6 cm)</v>
      </c>
      <c r="AH8" t="str">
        <f>LU_TrimSizes[[#This Row],[Trim Height (in)]]&amp;""" ("&amp;LU_TrimSizes[[#This Row],[Trim Height (cm)]]&amp;" cm)"</f>
        <v>9.21" (23.39 cm)</v>
      </c>
      <c r="AI8" t="str">
        <f>ROUND(LU_TrimSizes[[#This Row],[Trim Width (in)]]+0.125, 5)&amp;""""</f>
        <v>6.265"</v>
      </c>
      <c r="AJ8" t="str">
        <f>ROUND(LU_TrimSizes[[#This Row],[Trim Height (in)]]+0.25, 5)&amp;""""</f>
        <v>9.46"</v>
      </c>
      <c r="AK8" t="str">
        <f>LU_TrimSizes[[#This Row],[Trim W Bleed (in)]]&amp;" ("&amp;LU_TrimSizes[[#This Row],[Trim W Bleed (cm)]]&amp;")"</f>
        <v>6.265" (15.9131 cm)</v>
      </c>
      <c r="AL8" t="str">
        <f>LU_TrimSizes[[#This Row],[Trim H Bleed (in)]]&amp;" ("&amp;LU_TrimSizes[[#This Row],[Trim H Bleed (cm)]]&amp;")"</f>
        <v>9.46" (24.0284 cm)</v>
      </c>
      <c r="AM8" t="str">
        <f>ROUND(LU_TrimSizes[[#This Row],[Trim Width (in)]]*cm+blcmw, 5)&amp;" cm"</f>
        <v>15.9131 cm</v>
      </c>
      <c r="AN8" t="str">
        <f>ROUND(LU_TrimSizes[[#This Row],[Trim Height (in)]]*cm+blcmh, 5)&amp;" cm"</f>
        <v>24.0284 cm</v>
      </c>
      <c r="AO8" t="str">
        <f>LU_TrimSizes[[#This Row],[Trim W Bleed (in)]]&amp;" x "&amp;LU_TrimSizes[[#This Row],[Trim H Bleed (in)]]</f>
        <v>6.265" x 9.46"</v>
      </c>
      <c r="AP8" t="str">
        <f>LU_TrimSizes[[#This Row],[Trim W Bleed (cm)]]&amp;" x "&amp;LU_TrimSizes[[#This Row],[Trim H Bleed (cm)]]</f>
        <v>15.9131 cm x 24.0284 cm</v>
      </c>
      <c r="AQ8" s="13">
        <f>ROUND(LU_TrimSizes[[#This Row],[Trim Width (in)]]-GutterINmath-MarginOinMath, 5)</f>
        <v>5.5149999999999997</v>
      </c>
      <c r="AR8" s="13">
        <f>ROUND(LU_TrimSizes[[#This Row],[Trim Width (cm)]]-GutterCMmath-MarginOcmMath, 5)</f>
        <v>14.012499999999999</v>
      </c>
      <c r="AS8" s="13" t="str">
        <f>LU_TrimSizes[[#This Row],[Manuscript Safe Zone W in]]&amp;""" ("&amp;LU_TrimSizes[[#This Row],[Manuscript Safe Zone W cm]]&amp;" cm)"</f>
        <v>5.515" (14.0125 cm)</v>
      </c>
      <c r="AT8" s="13">
        <f>ROUND(LU_TrimSizes[[#This Row],[Trim Height (in)]]-MarginOinMath-MarginOinMath, 5)</f>
        <v>8.7100000000000009</v>
      </c>
      <c r="AU8" s="13">
        <f>ROUND(LU_TrimSizes[[#This Row],[Trim Height (cm)]]-MarginOcmMath-MarginOcmMath, 5)</f>
        <v>22.12</v>
      </c>
      <c r="AV8" s="13" t="str">
        <f>LU_TrimSizes[[#This Row],[Manuscript Safe Zone H in]]&amp;""" ("&amp;LU_TrimSizes[[#This Row],[Manuscript Safe Zone H (cm)]]&amp;" cm)"</f>
        <v>8.71" (22.12 cm)</v>
      </c>
      <c r="AW8" s="13" t="str">
        <f>LU_TrimSizes[[#This Row],[Manuscript Safe Zone W in]]&amp;""" x "&amp;LU_TrimSizes[[#This Row],[Manuscript Safe Zone H in]]&amp;""""</f>
        <v>5.515" x 8.71"</v>
      </c>
      <c r="AX8" s="13" t="str">
        <f>LU_TrimSizes[[#This Row],[Manuscript Safe Zone W cm]]&amp;" cm x "&amp;LU_TrimSizes[[#This Row],[Manuscript Safe Zone H (cm)]]&amp;" cm"</f>
        <v>14.0125 cm x 22.12 cm</v>
      </c>
      <c r="AY8" s="13">
        <f>ROUND(CBleedLin+LU_TrimSizes[[#This Row],[Trim Width (in)]]+SpineWidthInMath+LU_TrimSizes[[#This Row],[Trim Width (in)]]+CBleedRIn, 5)</f>
        <v>13.362500000000001</v>
      </c>
      <c r="AZ8" s="13">
        <f>ROUND(LU_TrimSizes[[#This Row],[Trim Width (cm)]]+CBleedLcm+SpineWidthCmMath+CBleedRcm+LU_TrimSizes[[#This Row],[Trim Width (cm)]], 5)</f>
        <v>33.949550000000002</v>
      </c>
      <c r="BA8" s="13" t="str">
        <f>LU_TrimSizes[[#This Row],[Cover W In]]&amp;""" ("&amp;LU_TrimSizes[[#This Row],[Cover W (cm)]]&amp;" cm)"</f>
        <v>13.3625" (33.94955 cm)</v>
      </c>
      <c r="BB8" s="13">
        <f>ROUND(CBleedTIn+LU_TrimSizes[[#This Row],[Trim Height (in)]]+CBleedBIn, 5)</f>
        <v>9.4600000000000009</v>
      </c>
      <c r="BC8" s="13">
        <f>ROUND(CBleedTcm+LU_TrimSizes[[#This Row],[Trim Height (cm)]]+CBleedBcm, 5)</f>
        <v>24.024999999999999</v>
      </c>
      <c r="BD8" s="13" t="str">
        <f>LU_TrimSizes[[#This Row],[Cover Height In]]&amp;""" ("&amp;LU_TrimSizes[[#This Row],[Cover Height CM]]&amp;" cm)"</f>
        <v>9.46" (24.025 cm)</v>
      </c>
      <c r="BE8" s="13" t="str">
        <f>LU_TrimSizes[[#This Row],[Cover W In]]&amp;""" x "&amp;LU_TrimSizes[[#This Row],[Cover Height In]]&amp;""""</f>
        <v>13.3625" x 9.46"</v>
      </c>
      <c r="BF8" s="13" t="str">
        <f>LU_TrimSizes[[#This Row],[Cover W (cm)]]&amp;" cm x "&amp;LU_TrimSizes[[#This Row],[Cover Height CM]]&amp;" cm"</f>
        <v>33.94955 cm x 24.025 cm</v>
      </c>
      <c r="BG8" s="13">
        <f>ROUND(LU_TrimSizes[[#This Row],[Cover W In]]-0.5, 5)</f>
        <v>12.862500000000001</v>
      </c>
      <c r="BH8" s="13">
        <f>ROUND(LU_TrimSizes[[#This Row],[Cover W (cm)]]-1.27, 5)</f>
        <v>32.679549999999999</v>
      </c>
      <c r="BI8" s="13" t="str">
        <f>LU_TrimSizes[[#This Row],[Cover Safe Zone W (in)]]&amp;""" ("&amp;LU_TrimSizes[[#This Row],[Cover Safe Zone W cm]]&amp;" cm)"</f>
        <v>12.8625" (32.67955 cm)</v>
      </c>
      <c r="BJ8" s="13" t="str">
        <f>LU_TrimSizes[[#This Row],[Cover Safe Zone H in]]&amp;""" ("&amp;LU_TrimSizes[[#This Row],[Cover Safe Zone H cm]]&amp;" cm)"</f>
        <v>8.96" (22.755 cm)</v>
      </c>
      <c r="BK8" s="13">
        <f>ROUND(LU_TrimSizes[[#This Row],[Cover Height In]]-0.5, 5)</f>
        <v>8.9600000000000009</v>
      </c>
      <c r="BL8" s="13">
        <f>ROUND(LU_TrimSizes[[#This Row],[Cover Height CM]]-1.27, 5)</f>
        <v>22.754999999999999</v>
      </c>
      <c r="BM8" s="13" t="str">
        <f>LU_TrimSizes[[#This Row],[Cover Safe Zone W (in)]]&amp;""" x "&amp;LU_TrimSizes[[#This Row],[Cover Safe Zone H in]]&amp;""""</f>
        <v>12.8625" x 8.96"</v>
      </c>
      <c r="BN8" s="13" t="str">
        <f>LU_TrimSizes[[#This Row],[Cover Safe Zone W cm]]&amp;" cm x "&amp;LU_TrimSizes[[#This Row],[Cover Safe Zone H cm]]&amp;" cm"</f>
        <v>32.67955 cm x 22.755 cm</v>
      </c>
      <c r="BO8" s="36">
        <v>776</v>
      </c>
      <c r="BP8" s="36">
        <v>828</v>
      </c>
      <c r="BQ8" s="37">
        <v>828</v>
      </c>
    </row>
    <row r="9" spans="1:69">
      <c r="A9">
        <v>7</v>
      </c>
      <c r="B9" s="1" t="s">
        <v>17</v>
      </c>
      <c r="C9" s="1" t="s">
        <v>22</v>
      </c>
      <c r="D9" s="1" t="s">
        <v>23</v>
      </c>
      <c r="E9" s="3" t="s">
        <v>58</v>
      </c>
      <c r="F9" s="1"/>
      <c r="G9" s="1" t="s">
        <v>202</v>
      </c>
      <c r="H9">
        <v>0.125</v>
      </c>
      <c r="I9">
        <f>ROUND(LU_CoverBleed[[#This Row],[Cover Bleed (In)]]*mm, 5)</f>
        <v>3.1749999999999998</v>
      </c>
      <c r="J9">
        <f>ROUND(LU_CoverBleed[[#This Row],[Cover Bleed (In)]]*cm, 5)</f>
        <v>0.3175</v>
      </c>
      <c r="R9">
        <v>31</v>
      </c>
      <c r="S9">
        <v>0.375</v>
      </c>
      <c r="T9">
        <v>0.25</v>
      </c>
      <c r="U9">
        <v>0.375</v>
      </c>
      <c r="V9">
        <f t="shared" si="0"/>
        <v>9.5250000000000004</v>
      </c>
      <c r="W9" t="str">
        <f t="shared" si="1"/>
        <v>0.375" (9.525 mm)</v>
      </c>
      <c r="Y9" s="35" t="s">
        <v>249</v>
      </c>
      <c r="Z9">
        <v>6.69</v>
      </c>
      <c r="AA9">
        <v>9.61</v>
      </c>
      <c r="AB9" t="s">
        <v>133</v>
      </c>
      <c r="AC9" s="5">
        <v>16.989999999999998</v>
      </c>
      <c r="AD9" s="5">
        <v>24.41</v>
      </c>
      <c r="AE9" t="s">
        <v>134</v>
      </c>
      <c r="AF9" t="str">
        <f t="shared" si="2"/>
        <v>6.69" x 9.61" (16.99 x 24.41 cm)</v>
      </c>
      <c r="AG9" t="str">
        <f>LU_TrimSizes[[#This Row],[Trim Width (in)]]&amp;""" ("&amp;LU_TrimSizes[[#This Row],[Trim Width (cm)]]&amp;" cm)"</f>
        <v>6.69" (16.99 cm)</v>
      </c>
      <c r="AH9" t="str">
        <f>LU_TrimSizes[[#This Row],[Trim Height (in)]]&amp;""" ("&amp;LU_TrimSizes[[#This Row],[Trim Height (cm)]]&amp;" cm)"</f>
        <v>9.61" (24.41 cm)</v>
      </c>
      <c r="AI9" t="str">
        <f>ROUND(LU_TrimSizes[[#This Row],[Trim Width (in)]]+0.125, 5)&amp;""""</f>
        <v>6.815"</v>
      </c>
      <c r="AJ9" t="str">
        <f>ROUND(LU_TrimSizes[[#This Row],[Trim Height (in)]]+0.25, 5)&amp;""""</f>
        <v>9.86"</v>
      </c>
      <c r="AK9" t="str">
        <f>LU_TrimSizes[[#This Row],[Trim W Bleed (in)]]&amp;" ("&amp;LU_TrimSizes[[#This Row],[Trim W Bleed (cm)]]&amp;")"</f>
        <v>6.815" (17.3101 cm)</v>
      </c>
      <c r="AL9" t="str">
        <f>LU_TrimSizes[[#This Row],[Trim H Bleed (in)]]&amp;" ("&amp;LU_TrimSizes[[#This Row],[Trim H Bleed (cm)]]&amp;")"</f>
        <v>9.86" (25.0444 cm)</v>
      </c>
      <c r="AM9" t="str">
        <f>ROUND(LU_TrimSizes[[#This Row],[Trim Width (in)]]*cm+blcmw, 5)&amp;" cm"</f>
        <v>17.3101 cm</v>
      </c>
      <c r="AN9" t="str">
        <f>ROUND(LU_TrimSizes[[#This Row],[Trim Height (in)]]*cm+blcmh, 5)&amp;" cm"</f>
        <v>25.0444 cm</v>
      </c>
      <c r="AO9" t="str">
        <f>LU_TrimSizes[[#This Row],[Trim W Bleed (in)]]&amp;" x "&amp;LU_TrimSizes[[#This Row],[Trim H Bleed (in)]]</f>
        <v>6.815" x 9.86"</v>
      </c>
      <c r="AP9" t="str">
        <f>LU_TrimSizes[[#This Row],[Trim W Bleed (cm)]]&amp;" x "&amp;LU_TrimSizes[[#This Row],[Trim H Bleed (cm)]]</f>
        <v>17.3101 cm x 25.0444 cm</v>
      </c>
      <c r="AQ9" s="13">
        <f>ROUND(LU_TrimSizes[[#This Row],[Trim Width (in)]]-GutterINmath-MarginOinMath, 5)</f>
        <v>6.0650000000000004</v>
      </c>
      <c r="AR9" s="13">
        <f>ROUND(LU_TrimSizes[[#This Row],[Trim Width (cm)]]-GutterCMmath-MarginOcmMath, 5)</f>
        <v>15.4025</v>
      </c>
      <c r="AS9" s="13" t="str">
        <f>LU_TrimSizes[[#This Row],[Manuscript Safe Zone W in]]&amp;""" ("&amp;LU_TrimSizes[[#This Row],[Manuscript Safe Zone W cm]]&amp;" cm)"</f>
        <v>6.065" (15.4025 cm)</v>
      </c>
      <c r="AT9" s="13">
        <f>ROUND(LU_TrimSizes[[#This Row],[Trim Height (in)]]-MarginOinMath-MarginOinMath, 5)</f>
        <v>9.11</v>
      </c>
      <c r="AU9" s="13">
        <f>ROUND(LU_TrimSizes[[#This Row],[Trim Height (cm)]]-MarginOcmMath-MarginOcmMath, 5)</f>
        <v>23.14</v>
      </c>
      <c r="AV9" s="13" t="str">
        <f>LU_TrimSizes[[#This Row],[Manuscript Safe Zone H in]]&amp;""" ("&amp;LU_TrimSizes[[#This Row],[Manuscript Safe Zone H (cm)]]&amp;" cm)"</f>
        <v>9.11" (23.14 cm)</v>
      </c>
      <c r="AW9" s="13" t="str">
        <f>LU_TrimSizes[[#This Row],[Manuscript Safe Zone W in]]&amp;""" x "&amp;LU_TrimSizes[[#This Row],[Manuscript Safe Zone H in]]&amp;""""</f>
        <v>6.065" x 9.11"</v>
      </c>
      <c r="AX9" s="13" t="str">
        <f>LU_TrimSizes[[#This Row],[Manuscript Safe Zone W cm]]&amp;" cm x "&amp;LU_TrimSizes[[#This Row],[Manuscript Safe Zone H (cm)]]&amp;" cm"</f>
        <v>15.4025 cm x 23.14 cm</v>
      </c>
      <c r="AY9" s="13">
        <f>ROUND(CBleedLin+LU_TrimSizes[[#This Row],[Trim Width (in)]]+SpineWidthInMath+LU_TrimSizes[[#This Row],[Trim Width (in)]]+CBleedRIn, 5)</f>
        <v>14.4625</v>
      </c>
      <c r="AZ9" s="13">
        <f>ROUND(LU_TrimSizes[[#This Row],[Trim Width (cm)]]+CBleedLcm+SpineWidthCmMath+CBleedRcm+LU_TrimSizes[[#This Row],[Trim Width (cm)]], 5)</f>
        <v>36.729550000000003</v>
      </c>
      <c r="BA9" s="13" t="str">
        <f>LU_TrimSizes[[#This Row],[Cover W In]]&amp;""" ("&amp;LU_TrimSizes[[#This Row],[Cover W (cm)]]&amp;" cm)"</f>
        <v>14.4625" (36.72955 cm)</v>
      </c>
      <c r="BB9" s="13">
        <f>ROUND(CBleedTIn+LU_TrimSizes[[#This Row],[Trim Height (in)]]+CBleedBIn, 5)</f>
        <v>9.86</v>
      </c>
      <c r="BC9" s="13">
        <f>ROUND(CBleedTcm+LU_TrimSizes[[#This Row],[Trim Height (cm)]]+CBleedBcm, 5)</f>
        <v>25.045000000000002</v>
      </c>
      <c r="BD9" s="13" t="str">
        <f>LU_TrimSizes[[#This Row],[Cover Height In]]&amp;""" ("&amp;LU_TrimSizes[[#This Row],[Cover Height CM]]&amp;" cm)"</f>
        <v>9.86" (25.045 cm)</v>
      </c>
      <c r="BE9" s="13" t="str">
        <f>LU_TrimSizes[[#This Row],[Cover W In]]&amp;""" x "&amp;LU_TrimSizes[[#This Row],[Cover Height In]]&amp;""""</f>
        <v>14.4625" x 9.86"</v>
      </c>
      <c r="BF9" s="13" t="str">
        <f>LU_TrimSizes[[#This Row],[Cover W (cm)]]&amp;" cm x "&amp;LU_TrimSizes[[#This Row],[Cover Height CM]]&amp;" cm"</f>
        <v>36.72955 cm x 25.045 cm</v>
      </c>
      <c r="BG9" s="13">
        <f>ROUND(LU_TrimSizes[[#This Row],[Cover W In]]-0.5, 5)</f>
        <v>13.9625</v>
      </c>
      <c r="BH9" s="13">
        <f>ROUND(LU_TrimSizes[[#This Row],[Cover W (cm)]]-1.27, 5)</f>
        <v>35.45955</v>
      </c>
      <c r="BI9" s="13" t="str">
        <f>LU_TrimSizes[[#This Row],[Cover Safe Zone W (in)]]&amp;""" ("&amp;LU_TrimSizes[[#This Row],[Cover Safe Zone W cm]]&amp;" cm)"</f>
        <v>13.9625" (35.45955 cm)</v>
      </c>
      <c r="BJ9" s="13" t="str">
        <f>LU_TrimSizes[[#This Row],[Cover Safe Zone H in]]&amp;""" ("&amp;LU_TrimSizes[[#This Row],[Cover Safe Zone H cm]]&amp;" cm)"</f>
        <v>9.36" (23.775 cm)</v>
      </c>
      <c r="BK9" s="13">
        <f>ROUND(LU_TrimSizes[[#This Row],[Cover Height In]]-0.5, 5)</f>
        <v>9.36</v>
      </c>
      <c r="BL9" s="13">
        <f>ROUND(LU_TrimSizes[[#This Row],[Cover Height CM]]-1.27, 5)</f>
        <v>23.774999999999999</v>
      </c>
      <c r="BM9" s="13" t="str">
        <f>LU_TrimSizes[[#This Row],[Cover Safe Zone W (in)]]&amp;""" x "&amp;LU_TrimSizes[[#This Row],[Cover Safe Zone H in]]&amp;""""</f>
        <v>13.9625" x 9.36"</v>
      </c>
      <c r="BN9" s="13" t="str">
        <f>LU_TrimSizes[[#This Row],[Cover Safe Zone W cm]]&amp;" cm x "&amp;LU_TrimSizes[[#This Row],[Cover Safe Zone H cm]]&amp;" cm"</f>
        <v>35.45955 cm x 23.775 cm</v>
      </c>
      <c r="BO9" s="36">
        <v>776</v>
      </c>
      <c r="BP9" s="36">
        <v>828</v>
      </c>
      <c r="BQ9" s="37">
        <v>828</v>
      </c>
    </row>
    <row r="10" spans="1:69">
      <c r="A10">
        <v>8</v>
      </c>
      <c r="B10" s="1" t="s">
        <v>17</v>
      </c>
      <c r="C10" s="1" t="s">
        <v>22</v>
      </c>
      <c r="D10" s="1" t="s">
        <v>12</v>
      </c>
      <c r="E10" s="3" t="s">
        <v>57</v>
      </c>
      <c r="F10" s="1"/>
      <c r="G10" s="1" t="s">
        <v>203</v>
      </c>
      <c r="H10">
        <v>0.125</v>
      </c>
      <c r="I10">
        <f>ROUND(LU_CoverBleed[[#This Row],[Cover Bleed (In)]]*mm, 5)</f>
        <v>3.1749999999999998</v>
      </c>
      <c r="J10">
        <f>ROUND(LU_CoverBleed[[#This Row],[Cover Bleed (In)]]*cm, 5)</f>
        <v>0.3175</v>
      </c>
      <c r="R10">
        <v>32</v>
      </c>
      <c r="S10">
        <v>0.375</v>
      </c>
      <c r="T10">
        <v>0.25</v>
      </c>
      <c r="U10">
        <v>0.375</v>
      </c>
      <c r="V10">
        <f t="shared" si="0"/>
        <v>9.5250000000000004</v>
      </c>
      <c r="W10" t="str">
        <f t="shared" si="1"/>
        <v>0.375" (9.525 mm)</v>
      </c>
      <c r="Y10" s="35" t="s">
        <v>250</v>
      </c>
      <c r="Z10">
        <v>7</v>
      </c>
      <c r="AA10">
        <v>10</v>
      </c>
      <c r="AB10" t="s">
        <v>135</v>
      </c>
      <c r="AC10" s="5">
        <v>17.78</v>
      </c>
      <c r="AD10" s="5">
        <v>25.4</v>
      </c>
      <c r="AE10" t="s">
        <v>136</v>
      </c>
      <c r="AF10" t="str">
        <f t="shared" si="2"/>
        <v>7" x 10" (17.78 x 25.4 cm)</v>
      </c>
      <c r="AG10" t="str">
        <f>LU_TrimSizes[[#This Row],[Trim Width (in)]]&amp;""" ("&amp;LU_TrimSizes[[#This Row],[Trim Width (cm)]]&amp;" cm)"</f>
        <v>7" (17.78 cm)</v>
      </c>
      <c r="AH10" t="str">
        <f>LU_TrimSizes[[#This Row],[Trim Height (in)]]&amp;""" ("&amp;LU_TrimSizes[[#This Row],[Trim Height (cm)]]&amp;" cm)"</f>
        <v>10" (25.4 cm)</v>
      </c>
      <c r="AI10" t="str">
        <f>ROUND(LU_TrimSizes[[#This Row],[Trim Width (in)]]+0.125, 5)&amp;""""</f>
        <v>7.125"</v>
      </c>
      <c r="AJ10" t="str">
        <f>ROUND(LU_TrimSizes[[#This Row],[Trim Height (in)]]+0.25, 5)&amp;""""</f>
        <v>10.25"</v>
      </c>
      <c r="AK10" t="str">
        <f>LU_TrimSizes[[#This Row],[Trim W Bleed (in)]]&amp;" ("&amp;LU_TrimSizes[[#This Row],[Trim W Bleed (cm)]]&amp;")"</f>
        <v>7.125" (18.0975 cm)</v>
      </c>
      <c r="AL10" t="str">
        <f>LU_TrimSizes[[#This Row],[Trim H Bleed (in)]]&amp;" ("&amp;LU_TrimSizes[[#This Row],[Trim H Bleed (cm)]]&amp;")"</f>
        <v>10.25" (26.035 cm)</v>
      </c>
      <c r="AM10" t="str">
        <f>ROUND(LU_TrimSizes[[#This Row],[Trim Width (in)]]*cm+blcmw, 5)&amp;" cm"</f>
        <v>18.0975 cm</v>
      </c>
      <c r="AN10" t="str">
        <f>ROUND(LU_TrimSizes[[#This Row],[Trim Height (in)]]*cm+blcmh, 5)&amp;" cm"</f>
        <v>26.035 cm</v>
      </c>
      <c r="AO10" t="str">
        <f>LU_TrimSizes[[#This Row],[Trim W Bleed (in)]]&amp;" x "&amp;LU_TrimSizes[[#This Row],[Trim H Bleed (in)]]</f>
        <v>7.125" x 10.25"</v>
      </c>
      <c r="AP10" t="str">
        <f>LU_TrimSizes[[#This Row],[Trim W Bleed (cm)]]&amp;" x "&amp;LU_TrimSizes[[#This Row],[Trim H Bleed (cm)]]</f>
        <v>18.0975 cm x 26.035 cm</v>
      </c>
      <c r="AQ10" s="13">
        <f>ROUND(LU_TrimSizes[[#This Row],[Trim Width (in)]]-GutterINmath-MarginOinMath, 5)</f>
        <v>6.375</v>
      </c>
      <c r="AR10" s="13">
        <f>ROUND(LU_TrimSizes[[#This Row],[Trim Width (cm)]]-GutterCMmath-MarginOcmMath, 5)</f>
        <v>16.192499999999999</v>
      </c>
      <c r="AS10" s="13" t="str">
        <f>LU_TrimSizes[[#This Row],[Manuscript Safe Zone W in]]&amp;""" ("&amp;LU_TrimSizes[[#This Row],[Manuscript Safe Zone W cm]]&amp;" cm)"</f>
        <v>6.375" (16.1925 cm)</v>
      </c>
      <c r="AT10" s="13">
        <f>ROUND(LU_TrimSizes[[#This Row],[Trim Height (in)]]-MarginOinMath-MarginOinMath, 5)</f>
        <v>9.5</v>
      </c>
      <c r="AU10" s="13">
        <f>ROUND(LU_TrimSizes[[#This Row],[Trim Height (cm)]]-MarginOcmMath-MarginOcmMath, 5)</f>
        <v>24.13</v>
      </c>
      <c r="AV10" s="13" t="str">
        <f>LU_TrimSizes[[#This Row],[Manuscript Safe Zone H in]]&amp;""" ("&amp;LU_TrimSizes[[#This Row],[Manuscript Safe Zone H (cm)]]&amp;" cm)"</f>
        <v>9.5" (24.13 cm)</v>
      </c>
      <c r="AW10" s="13" t="str">
        <f>LU_TrimSizes[[#This Row],[Manuscript Safe Zone W in]]&amp;""" x "&amp;LU_TrimSizes[[#This Row],[Manuscript Safe Zone H in]]&amp;""""</f>
        <v>6.375" x 9.5"</v>
      </c>
      <c r="AX10" s="13" t="str">
        <f>LU_TrimSizes[[#This Row],[Manuscript Safe Zone W cm]]&amp;" cm x "&amp;LU_TrimSizes[[#This Row],[Manuscript Safe Zone H (cm)]]&amp;" cm"</f>
        <v>16.1925 cm x 24.13 cm</v>
      </c>
      <c r="AY10" s="13">
        <f>ROUND(CBleedLin+LU_TrimSizes[[#This Row],[Trim Width (in)]]+SpineWidthInMath+LU_TrimSizes[[#This Row],[Trim Width (in)]]+CBleedRIn, 5)</f>
        <v>15.0825</v>
      </c>
      <c r="AZ10" s="13">
        <f>ROUND(LU_TrimSizes[[#This Row],[Trim Width (cm)]]+CBleedLcm+SpineWidthCmMath+CBleedRcm+LU_TrimSizes[[#This Row],[Trim Width (cm)]], 5)</f>
        <v>38.309550000000002</v>
      </c>
      <c r="BA10" s="13" t="str">
        <f>LU_TrimSizes[[#This Row],[Cover W In]]&amp;""" ("&amp;LU_TrimSizes[[#This Row],[Cover W (cm)]]&amp;" cm)"</f>
        <v>15.0825" (38.30955 cm)</v>
      </c>
      <c r="BB10" s="13">
        <f>ROUND(CBleedTIn+LU_TrimSizes[[#This Row],[Trim Height (in)]]+CBleedBIn, 5)</f>
        <v>10.25</v>
      </c>
      <c r="BC10" s="13">
        <f>ROUND(CBleedTcm+LU_TrimSizes[[#This Row],[Trim Height (cm)]]+CBleedBcm, 5)</f>
        <v>26.035</v>
      </c>
      <c r="BD10" s="13" t="str">
        <f>LU_TrimSizes[[#This Row],[Cover Height In]]&amp;""" ("&amp;LU_TrimSizes[[#This Row],[Cover Height CM]]&amp;" cm)"</f>
        <v>10.25" (26.035 cm)</v>
      </c>
      <c r="BE10" s="13" t="str">
        <f>LU_TrimSizes[[#This Row],[Cover W In]]&amp;""" x "&amp;LU_TrimSizes[[#This Row],[Cover Height In]]&amp;""""</f>
        <v>15.0825" x 10.25"</v>
      </c>
      <c r="BF10" s="13" t="str">
        <f>LU_TrimSizes[[#This Row],[Cover W (cm)]]&amp;" cm x "&amp;LU_TrimSizes[[#This Row],[Cover Height CM]]&amp;" cm"</f>
        <v>38.30955 cm x 26.035 cm</v>
      </c>
      <c r="BG10" s="13">
        <f>ROUND(LU_TrimSizes[[#This Row],[Cover W In]]-0.5, 5)</f>
        <v>14.5825</v>
      </c>
      <c r="BH10" s="13">
        <f>ROUND(LU_TrimSizes[[#This Row],[Cover W (cm)]]-1.27, 5)</f>
        <v>37.039549999999998</v>
      </c>
      <c r="BI10" s="13" t="str">
        <f>LU_TrimSizes[[#This Row],[Cover Safe Zone W (in)]]&amp;""" ("&amp;LU_TrimSizes[[#This Row],[Cover Safe Zone W cm]]&amp;" cm)"</f>
        <v>14.5825" (37.03955 cm)</v>
      </c>
      <c r="BJ10" s="13" t="str">
        <f>LU_TrimSizes[[#This Row],[Cover Safe Zone H in]]&amp;""" ("&amp;LU_TrimSizes[[#This Row],[Cover Safe Zone H cm]]&amp;" cm)"</f>
        <v>9.75" (24.765 cm)</v>
      </c>
      <c r="BK10" s="13">
        <f>ROUND(LU_TrimSizes[[#This Row],[Cover Height In]]-0.5, 5)</f>
        <v>9.75</v>
      </c>
      <c r="BL10" s="13">
        <f>ROUND(LU_TrimSizes[[#This Row],[Cover Height CM]]-1.27, 5)</f>
        <v>24.765000000000001</v>
      </c>
      <c r="BM10" s="13" t="str">
        <f>LU_TrimSizes[[#This Row],[Cover Safe Zone W (in)]]&amp;""" x "&amp;LU_TrimSizes[[#This Row],[Cover Safe Zone H in]]&amp;""""</f>
        <v>14.5825" x 9.75"</v>
      </c>
      <c r="BN10" s="13" t="str">
        <f>LU_TrimSizes[[#This Row],[Cover Safe Zone W cm]]&amp;" cm x "&amp;LU_TrimSizes[[#This Row],[Cover Safe Zone H cm]]&amp;" cm"</f>
        <v>37.03955 cm x 24.765 cm</v>
      </c>
      <c r="BO10" s="36">
        <v>776</v>
      </c>
      <c r="BP10" s="36">
        <v>828</v>
      </c>
      <c r="BQ10" s="37">
        <v>828</v>
      </c>
    </row>
    <row r="11" spans="1:69">
      <c r="A11">
        <v>9</v>
      </c>
      <c r="B11" s="1" t="s">
        <v>17</v>
      </c>
      <c r="C11" s="1" t="s">
        <v>22</v>
      </c>
      <c r="D11" s="1" t="s">
        <v>24</v>
      </c>
      <c r="E11" s="3" t="s">
        <v>59</v>
      </c>
      <c r="F11" s="1"/>
      <c r="G11" s="1" t="s">
        <v>204</v>
      </c>
      <c r="H11">
        <v>0.125</v>
      </c>
      <c r="I11">
        <f>ROUND(LU_CoverBleed[[#This Row],[Cover Bleed (In)]]*mm, 5)</f>
        <v>3.1749999999999998</v>
      </c>
      <c r="J11">
        <f>ROUND(LU_CoverBleed[[#This Row],[Cover Bleed (In)]]*cm, 5)</f>
        <v>0.3175</v>
      </c>
      <c r="R11">
        <v>33</v>
      </c>
      <c r="S11">
        <v>0.375</v>
      </c>
      <c r="T11">
        <v>0.25</v>
      </c>
      <c r="U11">
        <v>0.375</v>
      </c>
      <c r="V11">
        <f t="shared" si="0"/>
        <v>9.5250000000000004</v>
      </c>
      <c r="W11" t="str">
        <f t="shared" si="1"/>
        <v>0.375" (9.525 mm)</v>
      </c>
      <c r="Y11" s="35" t="s">
        <v>251</v>
      </c>
      <c r="Z11">
        <v>7.44</v>
      </c>
      <c r="AA11">
        <v>9.69</v>
      </c>
      <c r="AB11" t="s">
        <v>137</v>
      </c>
      <c r="AC11" s="5">
        <v>18.899999999999999</v>
      </c>
      <c r="AD11" s="5">
        <v>24.61</v>
      </c>
      <c r="AE11" t="s">
        <v>138</v>
      </c>
      <c r="AF11" t="str">
        <f t="shared" si="2"/>
        <v>7.44" x 9.69" (18.9 x 24.61 cm)</v>
      </c>
      <c r="AG11" t="str">
        <f>LU_TrimSizes[[#This Row],[Trim Width (in)]]&amp;""" ("&amp;LU_TrimSizes[[#This Row],[Trim Width (cm)]]&amp;" cm)"</f>
        <v>7.44" (18.9 cm)</v>
      </c>
      <c r="AH11" t="str">
        <f>LU_TrimSizes[[#This Row],[Trim Height (in)]]&amp;""" ("&amp;LU_TrimSizes[[#This Row],[Trim Height (cm)]]&amp;" cm)"</f>
        <v>9.69" (24.61 cm)</v>
      </c>
      <c r="AI11" t="str">
        <f>ROUND(LU_TrimSizes[[#This Row],[Trim Width (in)]]+0.125, 5)&amp;""""</f>
        <v>7.565"</v>
      </c>
      <c r="AJ11" t="str">
        <f>ROUND(LU_TrimSizes[[#This Row],[Trim Height (in)]]+0.25, 5)&amp;""""</f>
        <v>9.94"</v>
      </c>
      <c r="AK11" t="str">
        <f>LU_TrimSizes[[#This Row],[Trim W Bleed (in)]]&amp;" ("&amp;LU_TrimSizes[[#This Row],[Trim W Bleed (cm)]]&amp;")"</f>
        <v>7.565" (19.2151 cm)</v>
      </c>
      <c r="AL11" t="str">
        <f>LU_TrimSizes[[#This Row],[Trim H Bleed (in)]]&amp;" ("&amp;LU_TrimSizes[[#This Row],[Trim H Bleed (cm)]]&amp;")"</f>
        <v>9.94" (25.2476 cm)</v>
      </c>
      <c r="AM11" t="str">
        <f>ROUND(LU_TrimSizes[[#This Row],[Trim Width (in)]]*cm+blcmw, 5)&amp;" cm"</f>
        <v>19.2151 cm</v>
      </c>
      <c r="AN11" t="str">
        <f>ROUND(LU_TrimSizes[[#This Row],[Trim Height (in)]]*cm+blcmh, 5)&amp;" cm"</f>
        <v>25.2476 cm</v>
      </c>
      <c r="AO11" t="str">
        <f>LU_TrimSizes[[#This Row],[Trim W Bleed (in)]]&amp;" x "&amp;LU_TrimSizes[[#This Row],[Trim H Bleed (in)]]</f>
        <v>7.565" x 9.94"</v>
      </c>
      <c r="AP11" t="str">
        <f>LU_TrimSizes[[#This Row],[Trim W Bleed (cm)]]&amp;" x "&amp;LU_TrimSizes[[#This Row],[Trim H Bleed (cm)]]</f>
        <v>19.2151 cm x 25.2476 cm</v>
      </c>
      <c r="AQ11" s="13">
        <f>ROUND(LU_TrimSizes[[#This Row],[Trim Width (in)]]-GutterINmath-MarginOinMath, 5)</f>
        <v>6.8150000000000004</v>
      </c>
      <c r="AR11" s="13">
        <f>ROUND(LU_TrimSizes[[#This Row],[Trim Width (cm)]]-GutterCMmath-MarginOcmMath, 5)</f>
        <v>17.3125</v>
      </c>
      <c r="AS11" s="13" t="str">
        <f>LU_TrimSizes[[#This Row],[Manuscript Safe Zone W in]]&amp;""" ("&amp;LU_TrimSizes[[#This Row],[Manuscript Safe Zone W cm]]&amp;" cm)"</f>
        <v>6.815" (17.3125 cm)</v>
      </c>
      <c r="AT11" s="13">
        <f>ROUND(LU_TrimSizes[[#This Row],[Trim Height (in)]]-MarginOinMath-MarginOinMath, 5)</f>
        <v>9.19</v>
      </c>
      <c r="AU11" s="13">
        <f>ROUND(LU_TrimSizes[[#This Row],[Trim Height (cm)]]-MarginOcmMath-MarginOcmMath, 5)</f>
        <v>23.34</v>
      </c>
      <c r="AV11" s="13" t="str">
        <f>LU_TrimSizes[[#This Row],[Manuscript Safe Zone H in]]&amp;""" ("&amp;LU_TrimSizes[[#This Row],[Manuscript Safe Zone H (cm)]]&amp;" cm)"</f>
        <v>9.19" (23.34 cm)</v>
      </c>
      <c r="AW11" s="13" t="str">
        <f>LU_TrimSizes[[#This Row],[Manuscript Safe Zone W in]]&amp;""" x "&amp;LU_TrimSizes[[#This Row],[Manuscript Safe Zone H in]]&amp;""""</f>
        <v>6.815" x 9.19"</v>
      </c>
      <c r="AX11" s="13" t="str">
        <f>LU_TrimSizes[[#This Row],[Manuscript Safe Zone W cm]]&amp;" cm x "&amp;LU_TrimSizes[[#This Row],[Manuscript Safe Zone H (cm)]]&amp;" cm"</f>
        <v>17.3125 cm x 23.34 cm</v>
      </c>
      <c r="AY11" s="13">
        <f>ROUND(CBleedLin+LU_TrimSizes[[#This Row],[Trim Width (in)]]+SpineWidthInMath+LU_TrimSizes[[#This Row],[Trim Width (in)]]+CBleedRIn, 5)</f>
        <v>15.9625</v>
      </c>
      <c r="AZ11" s="13">
        <f>ROUND(LU_TrimSizes[[#This Row],[Trim Width (cm)]]+CBleedLcm+SpineWidthCmMath+CBleedRcm+LU_TrimSizes[[#This Row],[Trim Width (cm)]], 5)</f>
        <v>40.549550000000004</v>
      </c>
      <c r="BA11" s="13" t="str">
        <f>LU_TrimSizes[[#This Row],[Cover W In]]&amp;""" ("&amp;LU_TrimSizes[[#This Row],[Cover W (cm)]]&amp;" cm)"</f>
        <v>15.9625" (40.54955 cm)</v>
      </c>
      <c r="BB11" s="13">
        <f>ROUND(CBleedTIn+LU_TrimSizes[[#This Row],[Trim Height (in)]]+CBleedBIn, 5)</f>
        <v>9.94</v>
      </c>
      <c r="BC11" s="13">
        <f>ROUND(CBleedTcm+LU_TrimSizes[[#This Row],[Trim Height (cm)]]+CBleedBcm, 5)</f>
        <v>25.245000000000001</v>
      </c>
      <c r="BD11" s="13" t="str">
        <f>LU_TrimSizes[[#This Row],[Cover Height In]]&amp;""" ("&amp;LU_TrimSizes[[#This Row],[Cover Height CM]]&amp;" cm)"</f>
        <v>9.94" (25.245 cm)</v>
      </c>
      <c r="BE11" s="13" t="str">
        <f>LU_TrimSizes[[#This Row],[Cover W In]]&amp;""" x "&amp;LU_TrimSizes[[#This Row],[Cover Height In]]&amp;""""</f>
        <v>15.9625" x 9.94"</v>
      </c>
      <c r="BF11" s="13" t="str">
        <f>LU_TrimSizes[[#This Row],[Cover W (cm)]]&amp;" cm x "&amp;LU_TrimSizes[[#This Row],[Cover Height CM]]&amp;" cm"</f>
        <v>40.54955 cm x 25.245 cm</v>
      </c>
      <c r="BG11" s="13">
        <f>ROUND(LU_TrimSizes[[#This Row],[Cover W In]]-0.5, 5)</f>
        <v>15.4625</v>
      </c>
      <c r="BH11" s="13">
        <f>ROUND(LU_TrimSizes[[#This Row],[Cover W (cm)]]-1.27, 5)</f>
        <v>39.27955</v>
      </c>
      <c r="BI11" s="13" t="str">
        <f>LU_TrimSizes[[#This Row],[Cover Safe Zone W (in)]]&amp;""" ("&amp;LU_TrimSizes[[#This Row],[Cover Safe Zone W cm]]&amp;" cm)"</f>
        <v>15.4625" (39.27955 cm)</v>
      </c>
      <c r="BJ11" s="13" t="str">
        <f>LU_TrimSizes[[#This Row],[Cover Safe Zone H in]]&amp;""" ("&amp;LU_TrimSizes[[#This Row],[Cover Safe Zone H cm]]&amp;" cm)"</f>
        <v>9.44" (23.975 cm)</v>
      </c>
      <c r="BK11" s="13">
        <f>ROUND(LU_TrimSizes[[#This Row],[Cover Height In]]-0.5, 5)</f>
        <v>9.44</v>
      </c>
      <c r="BL11" s="13">
        <f>ROUND(LU_TrimSizes[[#This Row],[Cover Height CM]]-1.27, 5)</f>
        <v>23.975000000000001</v>
      </c>
      <c r="BM11" s="13" t="str">
        <f>LU_TrimSizes[[#This Row],[Cover Safe Zone W (in)]]&amp;""" x "&amp;LU_TrimSizes[[#This Row],[Cover Safe Zone H in]]&amp;""""</f>
        <v>15.4625" x 9.44"</v>
      </c>
      <c r="BN11" s="13" t="str">
        <f>LU_TrimSizes[[#This Row],[Cover Safe Zone W cm]]&amp;" cm x "&amp;LU_TrimSizes[[#This Row],[Cover Safe Zone H cm]]&amp;" cm"</f>
        <v>39.27955 cm x 23.975 cm</v>
      </c>
      <c r="BO11" s="36">
        <v>776</v>
      </c>
      <c r="BP11" s="36">
        <v>828</v>
      </c>
      <c r="BQ11" s="37">
        <v>828</v>
      </c>
    </row>
    <row r="12" spans="1:69">
      <c r="A12">
        <v>10</v>
      </c>
      <c r="B12" s="1" t="s">
        <v>17</v>
      </c>
      <c r="C12" s="1" t="s">
        <v>22</v>
      </c>
      <c r="D12" s="1" t="s">
        <v>25</v>
      </c>
      <c r="E12" s="3" t="s">
        <v>51</v>
      </c>
      <c r="F12" s="1"/>
      <c r="G12" s="1"/>
      <c r="R12">
        <v>34</v>
      </c>
      <c r="S12">
        <v>0.375</v>
      </c>
      <c r="T12">
        <v>0.25</v>
      </c>
      <c r="U12">
        <v>0.375</v>
      </c>
      <c r="V12">
        <f t="shared" si="0"/>
        <v>9.5250000000000004</v>
      </c>
      <c r="W12" t="str">
        <f t="shared" si="1"/>
        <v>0.375" (9.525 mm)</v>
      </c>
      <c r="Y12" s="35" t="s">
        <v>252</v>
      </c>
      <c r="Z12">
        <v>7.5</v>
      </c>
      <c r="AA12">
        <v>9.25</v>
      </c>
      <c r="AB12" t="s">
        <v>139</v>
      </c>
      <c r="AC12" s="5">
        <v>19.05</v>
      </c>
      <c r="AD12" s="5">
        <v>23.5</v>
      </c>
      <c r="AE12" t="s">
        <v>140</v>
      </c>
      <c r="AF12" t="str">
        <f t="shared" si="2"/>
        <v>7.5" x 9.25" (19.05 x 23.5 cm)</v>
      </c>
      <c r="AG12" t="str">
        <f>LU_TrimSizes[[#This Row],[Trim Width (in)]]&amp;""" ("&amp;LU_TrimSizes[[#This Row],[Trim Width (cm)]]&amp;" cm)"</f>
        <v>7.5" (19.05 cm)</v>
      </c>
      <c r="AH12" t="str">
        <f>LU_TrimSizes[[#This Row],[Trim Height (in)]]&amp;""" ("&amp;LU_TrimSizes[[#This Row],[Trim Height (cm)]]&amp;" cm)"</f>
        <v>9.25" (23.5 cm)</v>
      </c>
      <c r="AI12" t="str">
        <f>ROUND(LU_TrimSizes[[#This Row],[Trim Width (in)]]+0.125, 5)&amp;""""</f>
        <v>7.625"</v>
      </c>
      <c r="AJ12" t="str">
        <f>ROUND(LU_TrimSizes[[#This Row],[Trim Height (in)]]+0.25, 5)&amp;""""</f>
        <v>9.5"</v>
      </c>
      <c r="AK12" t="str">
        <f>LU_TrimSizes[[#This Row],[Trim W Bleed (in)]]&amp;" ("&amp;LU_TrimSizes[[#This Row],[Trim W Bleed (cm)]]&amp;")"</f>
        <v>7.625" (19.3675 cm)</v>
      </c>
      <c r="AL12" t="str">
        <f>LU_TrimSizes[[#This Row],[Trim H Bleed (in)]]&amp;" ("&amp;LU_TrimSizes[[#This Row],[Trim H Bleed (cm)]]&amp;")"</f>
        <v>9.5" (24.13 cm)</v>
      </c>
      <c r="AM12" t="str">
        <f>ROUND(LU_TrimSizes[[#This Row],[Trim Width (in)]]*cm+blcmw, 5)&amp;" cm"</f>
        <v>19.3675 cm</v>
      </c>
      <c r="AN12" t="str">
        <f>ROUND(LU_TrimSizes[[#This Row],[Trim Height (in)]]*cm+blcmh, 5)&amp;" cm"</f>
        <v>24.13 cm</v>
      </c>
      <c r="AO12" t="str">
        <f>LU_TrimSizes[[#This Row],[Trim W Bleed (in)]]&amp;" x "&amp;LU_TrimSizes[[#This Row],[Trim H Bleed (in)]]</f>
        <v>7.625" x 9.5"</v>
      </c>
      <c r="AP12" t="str">
        <f>LU_TrimSizes[[#This Row],[Trim W Bleed (cm)]]&amp;" x "&amp;LU_TrimSizes[[#This Row],[Trim H Bleed (cm)]]</f>
        <v>19.3675 cm x 24.13 cm</v>
      </c>
      <c r="AQ12" s="13">
        <f>ROUND(LU_TrimSizes[[#This Row],[Trim Width (in)]]-GutterINmath-MarginOinMath, 5)</f>
        <v>6.875</v>
      </c>
      <c r="AR12" s="13">
        <f>ROUND(LU_TrimSizes[[#This Row],[Trim Width (cm)]]-GutterCMmath-MarginOcmMath, 5)</f>
        <v>17.462499999999999</v>
      </c>
      <c r="AS12" s="13" t="str">
        <f>LU_TrimSizes[[#This Row],[Manuscript Safe Zone W in]]&amp;""" ("&amp;LU_TrimSizes[[#This Row],[Manuscript Safe Zone W cm]]&amp;" cm)"</f>
        <v>6.875" (17.4625 cm)</v>
      </c>
      <c r="AT12" s="13">
        <f>ROUND(LU_TrimSizes[[#This Row],[Trim Height (in)]]-MarginOinMath-MarginOinMath, 5)</f>
        <v>8.75</v>
      </c>
      <c r="AU12" s="13">
        <f>ROUND(LU_TrimSizes[[#This Row],[Trim Height (cm)]]-MarginOcmMath-MarginOcmMath, 5)</f>
        <v>22.23</v>
      </c>
      <c r="AV12" s="13" t="str">
        <f>LU_TrimSizes[[#This Row],[Manuscript Safe Zone H in]]&amp;""" ("&amp;LU_TrimSizes[[#This Row],[Manuscript Safe Zone H (cm)]]&amp;" cm)"</f>
        <v>8.75" (22.23 cm)</v>
      </c>
      <c r="AW12" s="13" t="str">
        <f>LU_TrimSizes[[#This Row],[Manuscript Safe Zone W in]]&amp;""" x "&amp;LU_TrimSizes[[#This Row],[Manuscript Safe Zone H in]]&amp;""""</f>
        <v>6.875" x 8.75"</v>
      </c>
      <c r="AX12" s="13" t="str">
        <f>LU_TrimSizes[[#This Row],[Manuscript Safe Zone W cm]]&amp;" cm x "&amp;LU_TrimSizes[[#This Row],[Manuscript Safe Zone H (cm)]]&amp;" cm"</f>
        <v>17.4625 cm x 22.23 cm</v>
      </c>
      <c r="AY12" s="13">
        <f>ROUND(CBleedLin+LU_TrimSizes[[#This Row],[Trim Width (in)]]+SpineWidthInMath+LU_TrimSizes[[#This Row],[Trim Width (in)]]+CBleedRIn, 5)</f>
        <v>16.0825</v>
      </c>
      <c r="AZ12" s="13">
        <f>ROUND(LU_TrimSizes[[#This Row],[Trim Width (cm)]]+CBleedLcm+SpineWidthCmMath+CBleedRcm+LU_TrimSizes[[#This Row],[Trim Width (cm)]], 5)</f>
        <v>40.849550000000001</v>
      </c>
      <c r="BA12" s="13" t="str">
        <f>LU_TrimSizes[[#This Row],[Cover W In]]&amp;""" ("&amp;LU_TrimSizes[[#This Row],[Cover W (cm)]]&amp;" cm)"</f>
        <v>16.0825" (40.84955 cm)</v>
      </c>
      <c r="BB12" s="13">
        <f>ROUND(CBleedTIn+LU_TrimSizes[[#This Row],[Trim Height (in)]]+CBleedBIn, 5)</f>
        <v>9.5</v>
      </c>
      <c r="BC12" s="13">
        <f>ROUND(CBleedTcm+LU_TrimSizes[[#This Row],[Trim Height (cm)]]+CBleedBcm, 5)</f>
        <v>24.135000000000002</v>
      </c>
      <c r="BD12" s="13" t="str">
        <f>LU_TrimSizes[[#This Row],[Cover Height In]]&amp;""" ("&amp;LU_TrimSizes[[#This Row],[Cover Height CM]]&amp;" cm)"</f>
        <v>9.5" (24.135 cm)</v>
      </c>
      <c r="BE12" s="13" t="str">
        <f>LU_TrimSizes[[#This Row],[Cover W In]]&amp;""" x "&amp;LU_TrimSizes[[#This Row],[Cover Height In]]&amp;""""</f>
        <v>16.0825" x 9.5"</v>
      </c>
      <c r="BF12" s="13" t="str">
        <f>LU_TrimSizes[[#This Row],[Cover W (cm)]]&amp;" cm x "&amp;LU_TrimSizes[[#This Row],[Cover Height CM]]&amp;" cm"</f>
        <v>40.84955 cm x 24.135 cm</v>
      </c>
      <c r="BG12" s="13">
        <f>ROUND(LU_TrimSizes[[#This Row],[Cover W In]]-0.5, 5)</f>
        <v>15.5825</v>
      </c>
      <c r="BH12" s="13">
        <f>ROUND(LU_TrimSizes[[#This Row],[Cover W (cm)]]-1.27, 5)</f>
        <v>39.579549999999998</v>
      </c>
      <c r="BI12" s="13" t="str">
        <f>LU_TrimSizes[[#This Row],[Cover Safe Zone W (in)]]&amp;""" ("&amp;LU_TrimSizes[[#This Row],[Cover Safe Zone W cm]]&amp;" cm)"</f>
        <v>15.5825" (39.57955 cm)</v>
      </c>
      <c r="BJ12" s="13" t="str">
        <f>LU_TrimSizes[[#This Row],[Cover Safe Zone H in]]&amp;""" ("&amp;LU_TrimSizes[[#This Row],[Cover Safe Zone H cm]]&amp;" cm)"</f>
        <v>9" (22.865 cm)</v>
      </c>
      <c r="BK12" s="13">
        <f>ROUND(LU_TrimSizes[[#This Row],[Cover Height In]]-0.5, 5)</f>
        <v>9</v>
      </c>
      <c r="BL12" s="13">
        <f>ROUND(LU_TrimSizes[[#This Row],[Cover Height CM]]-1.27, 5)</f>
        <v>22.864999999999998</v>
      </c>
      <c r="BM12" s="13" t="str">
        <f>LU_TrimSizes[[#This Row],[Cover Safe Zone W (in)]]&amp;""" x "&amp;LU_TrimSizes[[#This Row],[Cover Safe Zone H in]]&amp;""""</f>
        <v>15.5825" x 9"</v>
      </c>
      <c r="BN12" s="13" t="str">
        <f>LU_TrimSizes[[#This Row],[Cover Safe Zone W cm]]&amp;" cm x "&amp;LU_TrimSizes[[#This Row],[Cover Safe Zone H cm]]&amp;" cm"</f>
        <v>39.57955 cm x 22.865 cm</v>
      </c>
      <c r="BO12" s="36">
        <v>776</v>
      </c>
      <c r="BP12" s="36">
        <v>828</v>
      </c>
      <c r="BQ12" s="37">
        <v>828</v>
      </c>
    </row>
    <row r="13" spans="1:69">
      <c r="A13">
        <v>11</v>
      </c>
      <c r="B13" s="1" t="s">
        <v>17</v>
      </c>
      <c r="C13" s="1" t="s">
        <v>22</v>
      </c>
      <c r="D13" s="1" t="s">
        <v>15</v>
      </c>
      <c r="E13" s="3" t="s">
        <v>48</v>
      </c>
      <c r="F13" s="1"/>
      <c r="G13" s="1"/>
      <c r="R13">
        <v>35</v>
      </c>
      <c r="S13">
        <v>0.375</v>
      </c>
      <c r="T13">
        <v>0.25</v>
      </c>
      <c r="U13">
        <v>0.375</v>
      </c>
      <c r="V13">
        <f t="shared" si="0"/>
        <v>9.5250000000000004</v>
      </c>
      <c r="W13" t="str">
        <f t="shared" si="1"/>
        <v>0.375" (9.525 mm)</v>
      </c>
      <c r="Y13" s="35" t="s">
        <v>253</v>
      </c>
      <c r="Z13">
        <v>8</v>
      </c>
      <c r="AA13">
        <v>10</v>
      </c>
      <c r="AB13" t="s">
        <v>141</v>
      </c>
      <c r="AC13" s="5">
        <v>20.32</v>
      </c>
      <c r="AD13" s="5">
        <v>25.4</v>
      </c>
      <c r="AE13" t="s">
        <v>142</v>
      </c>
      <c r="AF13" t="str">
        <f t="shared" si="2"/>
        <v>8" x 10" (20.32 x 25.4 cm)</v>
      </c>
      <c r="AG13" t="str">
        <f>LU_TrimSizes[[#This Row],[Trim Width (in)]]&amp;""" ("&amp;LU_TrimSizes[[#This Row],[Trim Width (cm)]]&amp;" cm)"</f>
        <v>8" (20.32 cm)</v>
      </c>
      <c r="AH13" t="str">
        <f>LU_TrimSizes[[#This Row],[Trim Height (in)]]&amp;""" ("&amp;LU_TrimSizes[[#This Row],[Trim Height (cm)]]&amp;" cm)"</f>
        <v>10" (25.4 cm)</v>
      </c>
      <c r="AI13" t="str">
        <f>ROUND(LU_TrimSizes[[#This Row],[Trim Width (in)]]+0.125, 5)&amp;""""</f>
        <v>8.125"</v>
      </c>
      <c r="AJ13" t="str">
        <f>ROUND(LU_TrimSizes[[#This Row],[Trim Height (in)]]+0.25, 5)&amp;""""</f>
        <v>10.25"</v>
      </c>
      <c r="AK13" t="str">
        <f>LU_TrimSizes[[#This Row],[Trim W Bleed (in)]]&amp;" ("&amp;LU_TrimSizes[[#This Row],[Trim W Bleed (cm)]]&amp;")"</f>
        <v>8.125" (20.6375 cm)</v>
      </c>
      <c r="AL13" t="str">
        <f>LU_TrimSizes[[#This Row],[Trim H Bleed (in)]]&amp;" ("&amp;LU_TrimSizes[[#This Row],[Trim H Bleed (cm)]]&amp;")"</f>
        <v>10.25" (26.035 cm)</v>
      </c>
      <c r="AM13" t="str">
        <f>ROUND(LU_TrimSizes[[#This Row],[Trim Width (in)]]*cm+blcmw, 5)&amp;" cm"</f>
        <v>20.6375 cm</v>
      </c>
      <c r="AN13" t="str">
        <f>ROUND(LU_TrimSizes[[#This Row],[Trim Height (in)]]*cm+blcmh, 5)&amp;" cm"</f>
        <v>26.035 cm</v>
      </c>
      <c r="AO13" t="str">
        <f>LU_TrimSizes[[#This Row],[Trim W Bleed (in)]]&amp;" x "&amp;LU_TrimSizes[[#This Row],[Trim H Bleed (in)]]</f>
        <v>8.125" x 10.25"</v>
      </c>
      <c r="AP13" t="str">
        <f>LU_TrimSizes[[#This Row],[Trim W Bleed (cm)]]&amp;" x "&amp;LU_TrimSizes[[#This Row],[Trim H Bleed (cm)]]</f>
        <v>20.6375 cm x 26.035 cm</v>
      </c>
      <c r="AQ13" s="13">
        <f>ROUND(LU_TrimSizes[[#This Row],[Trim Width (in)]]-GutterINmath-MarginOinMath, 5)</f>
        <v>7.375</v>
      </c>
      <c r="AR13" s="13">
        <f>ROUND(LU_TrimSizes[[#This Row],[Trim Width (cm)]]-GutterCMmath-MarginOcmMath, 5)</f>
        <v>18.732500000000002</v>
      </c>
      <c r="AS13" s="13" t="str">
        <f>LU_TrimSizes[[#This Row],[Manuscript Safe Zone W in]]&amp;""" ("&amp;LU_TrimSizes[[#This Row],[Manuscript Safe Zone W cm]]&amp;" cm)"</f>
        <v>7.375" (18.7325 cm)</v>
      </c>
      <c r="AT13" s="13">
        <f>ROUND(LU_TrimSizes[[#This Row],[Trim Height (in)]]-MarginOinMath-MarginOinMath, 5)</f>
        <v>9.5</v>
      </c>
      <c r="AU13" s="13">
        <f>ROUND(LU_TrimSizes[[#This Row],[Trim Height (cm)]]-MarginOcmMath-MarginOcmMath, 5)</f>
        <v>24.13</v>
      </c>
      <c r="AV13" s="13" t="str">
        <f>LU_TrimSizes[[#This Row],[Manuscript Safe Zone H in]]&amp;""" ("&amp;LU_TrimSizes[[#This Row],[Manuscript Safe Zone H (cm)]]&amp;" cm)"</f>
        <v>9.5" (24.13 cm)</v>
      </c>
      <c r="AW13" s="13" t="str">
        <f>LU_TrimSizes[[#This Row],[Manuscript Safe Zone W in]]&amp;""" x "&amp;LU_TrimSizes[[#This Row],[Manuscript Safe Zone H in]]&amp;""""</f>
        <v>7.375" x 9.5"</v>
      </c>
      <c r="AX13" s="13" t="str">
        <f>LU_TrimSizes[[#This Row],[Manuscript Safe Zone W cm]]&amp;" cm x "&amp;LU_TrimSizes[[#This Row],[Manuscript Safe Zone H (cm)]]&amp;" cm"</f>
        <v>18.7325 cm x 24.13 cm</v>
      </c>
      <c r="AY13" s="13">
        <f>ROUND(CBleedLin+LU_TrimSizes[[#This Row],[Trim Width (in)]]+SpineWidthInMath+LU_TrimSizes[[#This Row],[Trim Width (in)]]+CBleedRIn, 5)</f>
        <v>17.0825</v>
      </c>
      <c r="AZ13" s="13">
        <f>ROUND(LU_TrimSizes[[#This Row],[Trim Width (cm)]]+CBleedLcm+SpineWidthCmMath+CBleedRcm+LU_TrimSizes[[#This Row],[Trim Width (cm)]], 5)</f>
        <v>43.38955</v>
      </c>
      <c r="BA13" s="13" t="str">
        <f>LU_TrimSizes[[#This Row],[Cover W In]]&amp;""" ("&amp;LU_TrimSizes[[#This Row],[Cover W (cm)]]&amp;" cm)"</f>
        <v>17.0825" (43.38955 cm)</v>
      </c>
      <c r="BB13" s="13">
        <f>ROUND(CBleedTIn+LU_TrimSizes[[#This Row],[Trim Height (in)]]+CBleedBIn, 5)</f>
        <v>10.25</v>
      </c>
      <c r="BC13" s="13">
        <f>ROUND(CBleedTcm+LU_TrimSizes[[#This Row],[Trim Height (cm)]]+CBleedBcm, 5)</f>
        <v>26.035</v>
      </c>
      <c r="BD13" s="13" t="str">
        <f>LU_TrimSizes[[#This Row],[Cover Height In]]&amp;""" ("&amp;LU_TrimSizes[[#This Row],[Cover Height CM]]&amp;" cm)"</f>
        <v>10.25" (26.035 cm)</v>
      </c>
      <c r="BE13" s="13" t="str">
        <f>LU_TrimSizes[[#This Row],[Cover W In]]&amp;""" x "&amp;LU_TrimSizes[[#This Row],[Cover Height In]]&amp;""""</f>
        <v>17.0825" x 10.25"</v>
      </c>
      <c r="BF13" s="13" t="str">
        <f>LU_TrimSizes[[#This Row],[Cover W (cm)]]&amp;" cm x "&amp;LU_TrimSizes[[#This Row],[Cover Height CM]]&amp;" cm"</f>
        <v>43.38955 cm x 26.035 cm</v>
      </c>
      <c r="BG13" s="13">
        <f>ROUND(LU_TrimSizes[[#This Row],[Cover W In]]-0.5, 5)</f>
        <v>16.5825</v>
      </c>
      <c r="BH13" s="13">
        <f>ROUND(LU_TrimSizes[[#This Row],[Cover W (cm)]]-1.27, 5)</f>
        <v>42.119549999999997</v>
      </c>
      <c r="BI13" s="13" t="str">
        <f>LU_TrimSizes[[#This Row],[Cover Safe Zone W (in)]]&amp;""" ("&amp;LU_TrimSizes[[#This Row],[Cover Safe Zone W cm]]&amp;" cm)"</f>
        <v>16.5825" (42.11955 cm)</v>
      </c>
      <c r="BJ13" s="13" t="str">
        <f>LU_TrimSizes[[#This Row],[Cover Safe Zone H in]]&amp;""" ("&amp;LU_TrimSizes[[#This Row],[Cover Safe Zone H cm]]&amp;" cm)"</f>
        <v>9.75" (24.765 cm)</v>
      </c>
      <c r="BK13" s="13">
        <f>ROUND(LU_TrimSizes[[#This Row],[Cover Height In]]-0.5, 5)</f>
        <v>9.75</v>
      </c>
      <c r="BL13" s="13">
        <f>ROUND(LU_TrimSizes[[#This Row],[Cover Height CM]]-1.27, 5)</f>
        <v>24.765000000000001</v>
      </c>
      <c r="BM13" s="13" t="str">
        <f>LU_TrimSizes[[#This Row],[Cover Safe Zone W (in)]]&amp;""" x "&amp;LU_TrimSizes[[#This Row],[Cover Safe Zone H in]]&amp;""""</f>
        <v>16.5825" x 9.75"</v>
      </c>
      <c r="BN13" s="13" t="str">
        <f>LU_TrimSizes[[#This Row],[Cover Safe Zone W cm]]&amp;" cm x "&amp;LU_TrimSizes[[#This Row],[Cover Safe Zone H cm]]&amp;" cm"</f>
        <v>42.11955 cm x 24.765 cm</v>
      </c>
      <c r="BO13" s="36">
        <v>776</v>
      </c>
      <c r="BP13" s="36">
        <v>828</v>
      </c>
      <c r="BQ13" s="37">
        <v>828</v>
      </c>
    </row>
    <row r="14" spans="1:69">
      <c r="A14">
        <v>12</v>
      </c>
      <c r="B14" s="1" t="s">
        <v>17</v>
      </c>
      <c r="C14" s="1" t="s">
        <v>22</v>
      </c>
      <c r="D14" s="1" t="s">
        <v>21</v>
      </c>
      <c r="E14" s="3" t="s">
        <v>49</v>
      </c>
      <c r="F14" s="1"/>
      <c r="G14" s="1" t="s">
        <v>30</v>
      </c>
      <c r="H14" s="1" t="s">
        <v>210</v>
      </c>
      <c r="I14" s="1" t="s">
        <v>211</v>
      </c>
      <c r="J14" s="1" t="s">
        <v>212</v>
      </c>
      <c r="R14">
        <v>36</v>
      </c>
      <c r="S14">
        <v>0.375</v>
      </c>
      <c r="T14">
        <v>0.25</v>
      </c>
      <c r="U14">
        <v>0.375</v>
      </c>
      <c r="V14">
        <f t="shared" si="0"/>
        <v>9.5250000000000004</v>
      </c>
      <c r="W14" t="str">
        <f t="shared" si="1"/>
        <v>0.375" (9.525 mm)</v>
      </c>
      <c r="Y14" s="35" t="s">
        <v>254</v>
      </c>
      <c r="Z14">
        <v>8.25</v>
      </c>
      <c r="AA14">
        <v>6</v>
      </c>
      <c r="AB14" t="s">
        <v>145</v>
      </c>
      <c r="AC14" s="5">
        <v>20.96</v>
      </c>
      <c r="AD14" s="5">
        <v>15.24</v>
      </c>
      <c r="AE14" t="s">
        <v>146</v>
      </c>
      <c r="AF14" t="str">
        <f t="shared" si="2"/>
        <v>8.25" x 6" (20.96 x 15.24 cm)</v>
      </c>
      <c r="AG14" t="str">
        <f>LU_TrimSizes[[#This Row],[Trim Width (in)]]&amp;""" ("&amp;LU_TrimSizes[[#This Row],[Trim Width (cm)]]&amp;" cm)"</f>
        <v>8.25" (20.96 cm)</v>
      </c>
      <c r="AH14" t="str">
        <f>LU_TrimSizes[[#This Row],[Trim Height (in)]]&amp;""" ("&amp;LU_TrimSizes[[#This Row],[Trim Height (cm)]]&amp;" cm)"</f>
        <v>6" (15.24 cm)</v>
      </c>
      <c r="AI14" t="str">
        <f>ROUND(LU_TrimSizes[[#This Row],[Trim Width (in)]]+0.125, 5)&amp;""""</f>
        <v>8.375"</v>
      </c>
      <c r="AJ14" t="str">
        <f>ROUND(LU_TrimSizes[[#This Row],[Trim Height (in)]]+0.25, 5)&amp;""""</f>
        <v>6.25"</v>
      </c>
      <c r="AK14" t="str">
        <f>LU_TrimSizes[[#This Row],[Trim W Bleed (in)]]&amp;" ("&amp;LU_TrimSizes[[#This Row],[Trim W Bleed (cm)]]&amp;")"</f>
        <v>8.375" (21.2725 cm)</v>
      </c>
      <c r="AL14" t="str">
        <f>LU_TrimSizes[[#This Row],[Trim H Bleed (in)]]&amp;" ("&amp;LU_TrimSizes[[#This Row],[Trim H Bleed (cm)]]&amp;")"</f>
        <v>6.25" (15.875 cm)</v>
      </c>
      <c r="AM14" t="str">
        <f>ROUND(LU_TrimSizes[[#This Row],[Trim Width (in)]]*cm+blcmw, 5)&amp;" cm"</f>
        <v>21.2725 cm</v>
      </c>
      <c r="AN14" t="str">
        <f>ROUND(LU_TrimSizes[[#This Row],[Trim Height (in)]]*cm+blcmh, 5)&amp;" cm"</f>
        <v>15.875 cm</v>
      </c>
      <c r="AO14" t="str">
        <f>LU_TrimSizes[[#This Row],[Trim W Bleed (in)]]&amp;" x "&amp;LU_TrimSizes[[#This Row],[Trim H Bleed (in)]]</f>
        <v>8.375" x 6.25"</v>
      </c>
      <c r="AP14" t="str">
        <f>LU_TrimSizes[[#This Row],[Trim W Bleed (cm)]]&amp;" x "&amp;LU_TrimSizes[[#This Row],[Trim H Bleed (cm)]]</f>
        <v>21.2725 cm x 15.875 cm</v>
      </c>
      <c r="AQ14" s="13">
        <f>ROUND(LU_TrimSizes[[#This Row],[Trim Width (in)]]-GutterINmath-MarginOinMath, 5)</f>
        <v>7.625</v>
      </c>
      <c r="AR14" s="13">
        <f>ROUND(LU_TrimSizes[[#This Row],[Trim Width (cm)]]-GutterCMmath-MarginOcmMath, 5)</f>
        <v>19.372499999999999</v>
      </c>
      <c r="AS14" s="13" t="str">
        <f>LU_TrimSizes[[#This Row],[Manuscript Safe Zone W in]]&amp;""" ("&amp;LU_TrimSizes[[#This Row],[Manuscript Safe Zone W cm]]&amp;" cm)"</f>
        <v>7.625" (19.3725 cm)</v>
      </c>
      <c r="AT14" s="13">
        <f>ROUND(LU_TrimSizes[[#This Row],[Trim Height (in)]]-MarginOinMath-MarginOinMath, 5)</f>
        <v>5.5</v>
      </c>
      <c r="AU14" s="13">
        <f>ROUND(LU_TrimSizes[[#This Row],[Trim Height (cm)]]-MarginOcmMath-MarginOcmMath, 5)</f>
        <v>13.97</v>
      </c>
      <c r="AV14" s="13" t="str">
        <f>LU_TrimSizes[[#This Row],[Manuscript Safe Zone H in]]&amp;""" ("&amp;LU_TrimSizes[[#This Row],[Manuscript Safe Zone H (cm)]]&amp;" cm)"</f>
        <v>5.5" (13.97 cm)</v>
      </c>
      <c r="AW14" s="13" t="str">
        <f>LU_TrimSizes[[#This Row],[Manuscript Safe Zone W in]]&amp;""" x "&amp;LU_TrimSizes[[#This Row],[Manuscript Safe Zone H in]]&amp;""""</f>
        <v>7.625" x 5.5"</v>
      </c>
      <c r="AX14" s="13" t="str">
        <f>LU_TrimSizes[[#This Row],[Manuscript Safe Zone W cm]]&amp;" cm x "&amp;LU_TrimSizes[[#This Row],[Manuscript Safe Zone H (cm)]]&amp;" cm"</f>
        <v>19.3725 cm x 13.97 cm</v>
      </c>
      <c r="AY14" s="13">
        <f>ROUND(CBleedLin+LU_TrimSizes[[#This Row],[Trim Width (in)]]+SpineWidthInMath+LU_TrimSizes[[#This Row],[Trim Width (in)]]+CBleedRIn, 5)</f>
        <v>17.5825</v>
      </c>
      <c r="AZ14" s="13">
        <f>ROUND(LU_TrimSizes[[#This Row],[Trim Width (cm)]]+CBleedLcm+SpineWidthCmMath+CBleedRcm+LU_TrimSizes[[#This Row],[Trim Width (cm)]], 5)</f>
        <v>44.669550000000001</v>
      </c>
      <c r="BA14" s="13" t="str">
        <f>LU_TrimSizes[[#This Row],[Cover W In]]&amp;""" ("&amp;LU_TrimSizes[[#This Row],[Cover W (cm)]]&amp;" cm)"</f>
        <v>17.5825" (44.66955 cm)</v>
      </c>
      <c r="BB14" s="13">
        <f>ROUND(CBleedTIn+LU_TrimSizes[[#This Row],[Trim Height (in)]]+CBleedBIn, 5)</f>
        <v>6.25</v>
      </c>
      <c r="BC14" s="13">
        <f>ROUND(CBleedTcm+LU_TrimSizes[[#This Row],[Trim Height (cm)]]+CBleedBcm, 5)</f>
        <v>15.875</v>
      </c>
      <c r="BD14" s="13" t="str">
        <f>LU_TrimSizes[[#This Row],[Cover Height In]]&amp;""" ("&amp;LU_TrimSizes[[#This Row],[Cover Height CM]]&amp;" cm)"</f>
        <v>6.25" (15.875 cm)</v>
      </c>
      <c r="BE14" s="13" t="str">
        <f>LU_TrimSizes[[#This Row],[Cover W In]]&amp;""" x "&amp;LU_TrimSizes[[#This Row],[Cover Height In]]&amp;""""</f>
        <v>17.5825" x 6.25"</v>
      </c>
      <c r="BF14" s="13" t="str">
        <f>LU_TrimSizes[[#This Row],[Cover W (cm)]]&amp;" cm x "&amp;LU_TrimSizes[[#This Row],[Cover Height CM]]&amp;" cm"</f>
        <v>44.66955 cm x 15.875 cm</v>
      </c>
      <c r="BG14" s="13">
        <f>ROUND(LU_TrimSizes[[#This Row],[Cover W In]]-0.5, 5)</f>
        <v>17.0825</v>
      </c>
      <c r="BH14" s="13">
        <f>ROUND(LU_TrimSizes[[#This Row],[Cover W (cm)]]-1.27, 5)</f>
        <v>43.399549999999998</v>
      </c>
      <c r="BI14" s="13" t="str">
        <f>LU_TrimSizes[[#This Row],[Cover Safe Zone W (in)]]&amp;""" ("&amp;LU_TrimSizes[[#This Row],[Cover Safe Zone W cm]]&amp;" cm)"</f>
        <v>17.0825" (43.39955 cm)</v>
      </c>
      <c r="BJ14" s="13" t="str">
        <f>LU_TrimSizes[[#This Row],[Cover Safe Zone H in]]&amp;""" ("&amp;LU_TrimSizes[[#This Row],[Cover Safe Zone H cm]]&amp;" cm)"</f>
        <v>5.75" (14.605 cm)</v>
      </c>
      <c r="BK14" s="13">
        <f>ROUND(LU_TrimSizes[[#This Row],[Cover Height In]]-0.5, 5)</f>
        <v>5.75</v>
      </c>
      <c r="BL14" s="13">
        <f>ROUND(LU_TrimSizes[[#This Row],[Cover Height CM]]-1.27, 5)</f>
        <v>14.605</v>
      </c>
      <c r="BM14" s="13" t="str">
        <f>LU_TrimSizes[[#This Row],[Cover Safe Zone W (in)]]&amp;""" x "&amp;LU_TrimSizes[[#This Row],[Cover Safe Zone H in]]&amp;""""</f>
        <v>17.0825" x 5.75"</v>
      </c>
      <c r="BN14" s="13" t="str">
        <f>LU_TrimSizes[[#This Row],[Cover Safe Zone W cm]]&amp;" cm x "&amp;LU_TrimSizes[[#This Row],[Cover Safe Zone H cm]]&amp;" cm"</f>
        <v>43.39955 cm x 14.605 cm</v>
      </c>
      <c r="BO14" s="36">
        <v>750</v>
      </c>
      <c r="BP14" s="36">
        <v>800</v>
      </c>
      <c r="BQ14" s="37">
        <v>800</v>
      </c>
    </row>
    <row r="15" spans="1:69">
      <c r="A15">
        <v>13</v>
      </c>
      <c r="B15" s="1" t="s">
        <v>17</v>
      </c>
      <c r="C15" s="1" t="s">
        <v>22</v>
      </c>
      <c r="D15" s="1" t="s">
        <v>19</v>
      </c>
      <c r="E15" s="3" t="s">
        <v>47</v>
      </c>
      <c r="F15" s="1"/>
      <c r="G15" s="1" t="s">
        <v>208</v>
      </c>
      <c r="H15">
        <v>6.25E-2</v>
      </c>
      <c r="I15">
        <f>ROUND(LU_SpineMargin[[#This Row],[Spine Margin (in)]]*mm, 5)</f>
        <v>1.5874999999999999</v>
      </c>
      <c r="J15">
        <f>ROUND(LU_SpineMargin[[#This Row],[Spine Margin (in)]]*cm,5 )</f>
        <v>0.15875</v>
      </c>
      <c r="R15">
        <v>37</v>
      </c>
      <c r="S15">
        <v>0.375</v>
      </c>
      <c r="T15">
        <v>0.25</v>
      </c>
      <c r="U15">
        <v>0.375</v>
      </c>
      <c r="V15">
        <f t="shared" si="0"/>
        <v>9.5250000000000004</v>
      </c>
      <c r="W15" t="str">
        <f t="shared" si="1"/>
        <v>0.375" (9.525 mm)</v>
      </c>
      <c r="Y15" s="35" t="s">
        <v>255</v>
      </c>
      <c r="Z15">
        <v>8.25</v>
      </c>
      <c r="AA15">
        <v>8.25</v>
      </c>
      <c r="AB15" t="s">
        <v>147</v>
      </c>
      <c r="AC15" s="5">
        <v>20.96</v>
      </c>
      <c r="AD15" s="5">
        <v>20.96</v>
      </c>
      <c r="AE15" t="s">
        <v>148</v>
      </c>
      <c r="AF15" t="str">
        <f t="shared" si="2"/>
        <v>8.25" x 8.25" (20.96 x 20.96 cm)</v>
      </c>
      <c r="AG15" t="str">
        <f>LU_TrimSizes[[#This Row],[Trim Width (in)]]&amp;""" ("&amp;LU_TrimSizes[[#This Row],[Trim Width (cm)]]&amp;" cm)"</f>
        <v>8.25" (20.96 cm)</v>
      </c>
      <c r="AH15" t="str">
        <f>LU_TrimSizes[[#This Row],[Trim Height (in)]]&amp;""" ("&amp;LU_TrimSizes[[#This Row],[Trim Height (cm)]]&amp;" cm)"</f>
        <v>8.25" (20.96 cm)</v>
      </c>
      <c r="AI15" t="str">
        <f>ROUND(LU_TrimSizes[[#This Row],[Trim Width (in)]]+0.125, 5)&amp;""""</f>
        <v>8.375"</v>
      </c>
      <c r="AJ15" t="str">
        <f>ROUND(LU_TrimSizes[[#This Row],[Trim Height (in)]]+0.25, 5)&amp;""""</f>
        <v>8.5"</v>
      </c>
      <c r="AK15" t="str">
        <f>LU_TrimSizes[[#This Row],[Trim W Bleed (in)]]&amp;" ("&amp;LU_TrimSizes[[#This Row],[Trim W Bleed (cm)]]&amp;")"</f>
        <v>8.375" (21.2725 cm)</v>
      </c>
      <c r="AL15" t="str">
        <f>LU_TrimSizes[[#This Row],[Trim H Bleed (in)]]&amp;" ("&amp;LU_TrimSizes[[#This Row],[Trim H Bleed (cm)]]&amp;")"</f>
        <v>8.5" (21.59 cm)</v>
      </c>
      <c r="AM15" t="str">
        <f>ROUND(LU_TrimSizes[[#This Row],[Trim Width (in)]]*cm+blcmw, 5)&amp;" cm"</f>
        <v>21.2725 cm</v>
      </c>
      <c r="AN15" t="str">
        <f>ROUND(LU_TrimSizes[[#This Row],[Trim Height (in)]]*cm+blcmh, 5)&amp;" cm"</f>
        <v>21.59 cm</v>
      </c>
      <c r="AO15" t="str">
        <f>LU_TrimSizes[[#This Row],[Trim W Bleed (in)]]&amp;" x "&amp;LU_TrimSizes[[#This Row],[Trim H Bleed (in)]]</f>
        <v>8.375" x 8.5"</v>
      </c>
      <c r="AP15" t="str">
        <f>LU_TrimSizes[[#This Row],[Trim W Bleed (cm)]]&amp;" x "&amp;LU_TrimSizes[[#This Row],[Trim H Bleed (cm)]]</f>
        <v>21.2725 cm x 21.59 cm</v>
      </c>
      <c r="AQ15" s="13">
        <f>ROUND(LU_TrimSizes[[#This Row],[Trim Width (in)]]-GutterINmath-MarginOinMath, 5)</f>
        <v>7.625</v>
      </c>
      <c r="AR15" s="13">
        <f>ROUND(LU_TrimSizes[[#This Row],[Trim Width (cm)]]-GutterCMmath-MarginOcmMath, 5)</f>
        <v>19.372499999999999</v>
      </c>
      <c r="AS15" s="13" t="str">
        <f>LU_TrimSizes[[#This Row],[Manuscript Safe Zone W in]]&amp;""" ("&amp;LU_TrimSizes[[#This Row],[Manuscript Safe Zone W cm]]&amp;" cm)"</f>
        <v>7.625" (19.3725 cm)</v>
      </c>
      <c r="AT15" s="13">
        <f>ROUND(LU_TrimSizes[[#This Row],[Trim Height (in)]]-MarginOinMath-MarginOinMath, 5)</f>
        <v>7.75</v>
      </c>
      <c r="AU15" s="13">
        <f>ROUND(LU_TrimSizes[[#This Row],[Trim Height (cm)]]-MarginOcmMath-MarginOcmMath, 5)</f>
        <v>19.690000000000001</v>
      </c>
      <c r="AV15" s="13" t="str">
        <f>LU_TrimSizes[[#This Row],[Manuscript Safe Zone H in]]&amp;""" ("&amp;LU_TrimSizes[[#This Row],[Manuscript Safe Zone H (cm)]]&amp;" cm)"</f>
        <v>7.75" (19.69 cm)</v>
      </c>
      <c r="AW15" s="13" t="str">
        <f>LU_TrimSizes[[#This Row],[Manuscript Safe Zone W in]]&amp;""" x "&amp;LU_TrimSizes[[#This Row],[Manuscript Safe Zone H in]]&amp;""""</f>
        <v>7.625" x 7.75"</v>
      </c>
      <c r="AX15" s="13" t="str">
        <f>LU_TrimSizes[[#This Row],[Manuscript Safe Zone W cm]]&amp;" cm x "&amp;LU_TrimSizes[[#This Row],[Manuscript Safe Zone H (cm)]]&amp;" cm"</f>
        <v>19.3725 cm x 19.69 cm</v>
      </c>
      <c r="AY15" s="13">
        <f>ROUND(CBleedLin+LU_TrimSizes[[#This Row],[Trim Width (in)]]+SpineWidthInMath+LU_TrimSizes[[#This Row],[Trim Width (in)]]+CBleedRIn, 5)</f>
        <v>17.5825</v>
      </c>
      <c r="AZ15" s="13">
        <f>ROUND(LU_TrimSizes[[#This Row],[Trim Width (cm)]]+CBleedLcm+SpineWidthCmMath+CBleedRcm+LU_TrimSizes[[#This Row],[Trim Width (cm)]], 5)</f>
        <v>44.669550000000001</v>
      </c>
      <c r="BA15" s="13" t="str">
        <f>LU_TrimSizes[[#This Row],[Cover W In]]&amp;""" ("&amp;LU_TrimSizes[[#This Row],[Cover W (cm)]]&amp;" cm)"</f>
        <v>17.5825" (44.66955 cm)</v>
      </c>
      <c r="BB15" s="13">
        <f>ROUND(CBleedTIn+LU_TrimSizes[[#This Row],[Trim Height (in)]]+CBleedBIn, 5)</f>
        <v>8.5</v>
      </c>
      <c r="BC15" s="13">
        <f>ROUND(CBleedTcm+LU_TrimSizes[[#This Row],[Trim Height (cm)]]+CBleedBcm, 5)</f>
        <v>21.594999999999999</v>
      </c>
      <c r="BD15" s="13" t="str">
        <f>LU_TrimSizes[[#This Row],[Cover Height In]]&amp;""" ("&amp;LU_TrimSizes[[#This Row],[Cover Height CM]]&amp;" cm)"</f>
        <v>8.5" (21.595 cm)</v>
      </c>
      <c r="BE15" s="13" t="str">
        <f>LU_TrimSizes[[#This Row],[Cover W In]]&amp;""" x "&amp;LU_TrimSizes[[#This Row],[Cover Height In]]&amp;""""</f>
        <v>17.5825" x 8.5"</v>
      </c>
      <c r="BF15" s="13" t="str">
        <f>LU_TrimSizes[[#This Row],[Cover W (cm)]]&amp;" cm x "&amp;LU_TrimSizes[[#This Row],[Cover Height CM]]&amp;" cm"</f>
        <v>44.66955 cm x 21.595 cm</v>
      </c>
      <c r="BG15" s="13">
        <f>ROUND(LU_TrimSizes[[#This Row],[Cover W In]]-0.5, 5)</f>
        <v>17.0825</v>
      </c>
      <c r="BH15" s="13">
        <f>ROUND(LU_TrimSizes[[#This Row],[Cover W (cm)]]-1.27, 5)</f>
        <v>43.399549999999998</v>
      </c>
      <c r="BI15" s="13" t="str">
        <f>LU_TrimSizes[[#This Row],[Cover Safe Zone W (in)]]&amp;""" ("&amp;LU_TrimSizes[[#This Row],[Cover Safe Zone W cm]]&amp;" cm)"</f>
        <v>17.0825" (43.39955 cm)</v>
      </c>
      <c r="BJ15" s="13" t="str">
        <f>LU_TrimSizes[[#This Row],[Cover Safe Zone H in]]&amp;""" ("&amp;LU_TrimSizes[[#This Row],[Cover Safe Zone H cm]]&amp;" cm)"</f>
        <v>8" (20.325 cm)</v>
      </c>
      <c r="BK15" s="13">
        <f>ROUND(LU_TrimSizes[[#This Row],[Cover Height In]]-0.5, 5)</f>
        <v>8</v>
      </c>
      <c r="BL15" s="13">
        <f>ROUND(LU_TrimSizes[[#This Row],[Cover Height CM]]-1.27, 5)</f>
        <v>20.324999999999999</v>
      </c>
      <c r="BM15" s="13" t="str">
        <f>LU_TrimSizes[[#This Row],[Cover Safe Zone W (in)]]&amp;""" x "&amp;LU_TrimSizes[[#This Row],[Cover Safe Zone H in]]&amp;""""</f>
        <v>17.0825" x 8"</v>
      </c>
      <c r="BN15" s="13" t="str">
        <f>LU_TrimSizes[[#This Row],[Cover Safe Zone W cm]]&amp;" cm x "&amp;LU_TrimSizes[[#This Row],[Cover Safe Zone H cm]]&amp;" cm"</f>
        <v>43.39955 cm x 20.325 cm</v>
      </c>
      <c r="BO15" s="36">
        <v>750</v>
      </c>
      <c r="BP15" s="36">
        <v>800</v>
      </c>
      <c r="BQ15" s="37">
        <v>800</v>
      </c>
    </row>
    <row r="16" spans="1:69">
      <c r="A16">
        <v>14</v>
      </c>
      <c r="B16" s="1" t="s">
        <v>26</v>
      </c>
      <c r="C16" s="1" t="s">
        <v>27</v>
      </c>
      <c r="D16" s="1" t="s">
        <v>28</v>
      </c>
      <c r="E16" s="3" t="s">
        <v>52</v>
      </c>
      <c r="G16" s="3" t="s">
        <v>209</v>
      </c>
      <c r="H16">
        <v>6.25E-2</v>
      </c>
      <c r="I16">
        <f>ROUND(LU_SpineMargin[[#This Row],[Spine Margin (in)]]*mm, 5)</f>
        <v>1.5874999999999999</v>
      </c>
      <c r="J16">
        <f>ROUND(LU_SpineMargin[[#This Row],[Spine Margin (in)]]*cm,5 )</f>
        <v>0.15875</v>
      </c>
      <c r="R16">
        <v>38</v>
      </c>
      <c r="S16">
        <v>0.375</v>
      </c>
      <c r="T16">
        <v>0.25</v>
      </c>
      <c r="U16">
        <v>0.375</v>
      </c>
      <c r="V16">
        <f t="shared" si="0"/>
        <v>9.5250000000000004</v>
      </c>
      <c r="W16" t="str">
        <f t="shared" si="1"/>
        <v>0.375" (9.525 mm)</v>
      </c>
      <c r="Y16" s="35" t="s">
        <v>256</v>
      </c>
      <c r="Z16">
        <v>8.5</v>
      </c>
      <c r="AA16">
        <v>8.5</v>
      </c>
      <c r="AB16" t="s">
        <v>149</v>
      </c>
      <c r="AC16" s="5">
        <v>21.59</v>
      </c>
      <c r="AD16" s="5">
        <v>21.59</v>
      </c>
      <c r="AE16" t="s">
        <v>150</v>
      </c>
      <c r="AF16" t="str">
        <f t="shared" si="2"/>
        <v>8.5" x 8.5" (21.59 x 21.59 cm)</v>
      </c>
      <c r="AG16" t="str">
        <f>LU_TrimSizes[[#This Row],[Trim Width (in)]]&amp;""" ("&amp;LU_TrimSizes[[#This Row],[Trim Width (cm)]]&amp;" cm)"</f>
        <v>8.5" (21.59 cm)</v>
      </c>
      <c r="AH16" t="str">
        <f>LU_TrimSizes[[#This Row],[Trim Height (in)]]&amp;""" ("&amp;LU_TrimSizes[[#This Row],[Trim Height (cm)]]&amp;" cm)"</f>
        <v>8.5" (21.59 cm)</v>
      </c>
      <c r="AI16" t="str">
        <f>ROUND(LU_TrimSizes[[#This Row],[Trim Width (in)]]+0.125, 5)&amp;""""</f>
        <v>8.625"</v>
      </c>
      <c r="AJ16" t="str">
        <f>ROUND(LU_TrimSizes[[#This Row],[Trim Height (in)]]+0.25, 5)&amp;""""</f>
        <v>8.75"</v>
      </c>
      <c r="AK16" t="str">
        <f>LU_TrimSizes[[#This Row],[Trim W Bleed (in)]]&amp;" ("&amp;LU_TrimSizes[[#This Row],[Trim W Bleed (cm)]]&amp;")"</f>
        <v>8.625" (21.9075 cm)</v>
      </c>
      <c r="AL16" t="str">
        <f>LU_TrimSizes[[#This Row],[Trim H Bleed (in)]]&amp;" ("&amp;LU_TrimSizes[[#This Row],[Trim H Bleed (cm)]]&amp;")"</f>
        <v>8.75" (22.225 cm)</v>
      </c>
      <c r="AM16" t="str">
        <f>ROUND(LU_TrimSizes[[#This Row],[Trim Width (in)]]*cm+blcmw, 5)&amp;" cm"</f>
        <v>21.9075 cm</v>
      </c>
      <c r="AN16" t="str">
        <f>ROUND(LU_TrimSizes[[#This Row],[Trim Height (in)]]*cm+blcmh, 5)&amp;" cm"</f>
        <v>22.225 cm</v>
      </c>
      <c r="AO16" t="str">
        <f>LU_TrimSizes[[#This Row],[Trim W Bleed (in)]]&amp;" x "&amp;LU_TrimSizes[[#This Row],[Trim H Bleed (in)]]</f>
        <v>8.625" x 8.75"</v>
      </c>
      <c r="AP16" t="str">
        <f>LU_TrimSizes[[#This Row],[Trim W Bleed (cm)]]&amp;" x "&amp;LU_TrimSizes[[#This Row],[Trim H Bleed (cm)]]</f>
        <v>21.9075 cm x 22.225 cm</v>
      </c>
      <c r="AQ16" s="13">
        <f>ROUND(LU_TrimSizes[[#This Row],[Trim Width (in)]]-GutterINmath-MarginOinMath, 5)</f>
        <v>7.875</v>
      </c>
      <c r="AR16" s="13">
        <f>ROUND(LU_TrimSizes[[#This Row],[Trim Width (cm)]]-GutterCMmath-MarginOcmMath, 5)</f>
        <v>20.002500000000001</v>
      </c>
      <c r="AS16" s="13" t="str">
        <f>LU_TrimSizes[[#This Row],[Manuscript Safe Zone W in]]&amp;""" ("&amp;LU_TrimSizes[[#This Row],[Manuscript Safe Zone W cm]]&amp;" cm)"</f>
        <v>7.875" (20.0025 cm)</v>
      </c>
      <c r="AT16" s="13">
        <f>ROUND(LU_TrimSizes[[#This Row],[Trim Height (in)]]-MarginOinMath-MarginOinMath, 5)</f>
        <v>8</v>
      </c>
      <c r="AU16" s="13">
        <f>ROUND(LU_TrimSizes[[#This Row],[Trim Height (cm)]]-MarginOcmMath-MarginOcmMath, 5)</f>
        <v>20.32</v>
      </c>
      <c r="AV16" s="13" t="str">
        <f>LU_TrimSizes[[#This Row],[Manuscript Safe Zone H in]]&amp;""" ("&amp;LU_TrimSizes[[#This Row],[Manuscript Safe Zone H (cm)]]&amp;" cm)"</f>
        <v>8" (20.32 cm)</v>
      </c>
      <c r="AW16" s="13" t="str">
        <f>LU_TrimSizes[[#This Row],[Manuscript Safe Zone W in]]&amp;""" x "&amp;LU_TrimSizes[[#This Row],[Manuscript Safe Zone H in]]&amp;""""</f>
        <v>7.875" x 8"</v>
      </c>
      <c r="AX16" s="13" t="str">
        <f>LU_TrimSizes[[#This Row],[Manuscript Safe Zone W cm]]&amp;" cm x "&amp;LU_TrimSizes[[#This Row],[Manuscript Safe Zone H (cm)]]&amp;" cm"</f>
        <v>20.0025 cm x 20.32 cm</v>
      </c>
      <c r="AY16" s="13">
        <f>ROUND(CBleedLin+LU_TrimSizes[[#This Row],[Trim Width (in)]]+SpineWidthInMath+LU_TrimSizes[[#This Row],[Trim Width (in)]]+CBleedRIn, 5)</f>
        <v>18.0825</v>
      </c>
      <c r="AZ16" s="13">
        <f>ROUND(LU_TrimSizes[[#This Row],[Trim Width (cm)]]+CBleedLcm+SpineWidthCmMath+CBleedRcm+LU_TrimSizes[[#This Row],[Trim Width (cm)]], 5)</f>
        <v>45.929549999999999</v>
      </c>
      <c r="BA16" s="13" t="str">
        <f>LU_TrimSizes[[#This Row],[Cover W In]]&amp;""" ("&amp;LU_TrimSizes[[#This Row],[Cover W (cm)]]&amp;" cm)"</f>
        <v>18.0825" (45.92955 cm)</v>
      </c>
      <c r="BB16" s="13">
        <f>ROUND(CBleedTIn+LU_TrimSizes[[#This Row],[Trim Height (in)]]+CBleedBIn, 5)</f>
        <v>8.75</v>
      </c>
      <c r="BC16" s="13">
        <f>ROUND(CBleedTcm+LU_TrimSizes[[#This Row],[Trim Height (cm)]]+CBleedBcm, 5)</f>
        <v>22.225000000000001</v>
      </c>
      <c r="BD16" s="13" t="str">
        <f>LU_TrimSizes[[#This Row],[Cover Height In]]&amp;""" ("&amp;LU_TrimSizes[[#This Row],[Cover Height CM]]&amp;" cm)"</f>
        <v>8.75" (22.225 cm)</v>
      </c>
      <c r="BE16" s="13" t="str">
        <f>LU_TrimSizes[[#This Row],[Cover W In]]&amp;""" x "&amp;LU_TrimSizes[[#This Row],[Cover Height In]]&amp;""""</f>
        <v>18.0825" x 8.75"</v>
      </c>
      <c r="BF16" s="13" t="str">
        <f>LU_TrimSizes[[#This Row],[Cover W (cm)]]&amp;" cm x "&amp;LU_TrimSizes[[#This Row],[Cover Height CM]]&amp;" cm"</f>
        <v>45.92955 cm x 22.225 cm</v>
      </c>
      <c r="BG16" s="13">
        <f>ROUND(LU_TrimSizes[[#This Row],[Cover W In]]-0.5, 5)</f>
        <v>17.5825</v>
      </c>
      <c r="BH16" s="13">
        <f>ROUND(LU_TrimSizes[[#This Row],[Cover W (cm)]]-1.27, 5)</f>
        <v>44.659550000000003</v>
      </c>
      <c r="BI16" s="13" t="str">
        <f>LU_TrimSizes[[#This Row],[Cover Safe Zone W (in)]]&amp;""" ("&amp;LU_TrimSizes[[#This Row],[Cover Safe Zone W cm]]&amp;" cm)"</f>
        <v>17.5825" (44.65955 cm)</v>
      </c>
      <c r="BJ16" s="13" t="str">
        <f>LU_TrimSizes[[#This Row],[Cover Safe Zone H in]]&amp;""" ("&amp;LU_TrimSizes[[#This Row],[Cover Safe Zone H cm]]&amp;" cm)"</f>
        <v>8.25" (20.955 cm)</v>
      </c>
      <c r="BK16" s="13">
        <f>ROUND(LU_TrimSizes[[#This Row],[Cover Height In]]-0.5, 5)</f>
        <v>8.25</v>
      </c>
      <c r="BL16" s="13">
        <f>ROUND(LU_TrimSizes[[#This Row],[Cover Height CM]]-1.27, 5)</f>
        <v>20.954999999999998</v>
      </c>
      <c r="BM16" s="13" t="str">
        <f>LU_TrimSizes[[#This Row],[Cover Safe Zone W (in)]]&amp;""" x "&amp;LU_TrimSizes[[#This Row],[Cover Safe Zone H in]]&amp;""""</f>
        <v>17.5825" x 8.25"</v>
      </c>
      <c r="BN16" s="13" t="str">
        <f>LU_TrimSizes[[#This Row],[Cover Safe Zone W cm]]&amp;" cm x "&amp;LU_TrimSizes[[#This Row],[Cover Safe Zone H cm]]&amp;" cm"</f>
        <v>44.65955 cm x 20.955 cm</v>
      </c>
      <c r="BO16" s="36">
        <v>550</v>
      </c>
      <c r="BP16" s="36">
        <v>590</v>
      </c>
      <c r="BQ16" s="37">
        <v>590</v>
      </c>
    </row>
    <row r="17" spans="1:69">
      <c r="A17">
        <v>15</v>
      </c>
      <c r="B17" s="1" t="s">
        <v>26</v>
      </c>
      <c r="C17" s="1" t="s">
        <v>27</v>
      </c>
      <c r="D17" s="1" t="s">
        <v>29</v>
      </c>
      <c r="E17" s="3" t="s">
        <v>53</v>
      </c>
      <c r="G17" s="3"/>
      <c r="R17">
        <v>39</v>
      </c>
      <c r="S17">
        <v>0.375</v>
      </c>
      <c r="T17">
        <v>0.25</v>
      </c>
      <c r="U17">
        <v>0.375</v>
      </c>
      <c r="V17">
        <f t="shared" si="0"/>
        <v>9.5250000000000004</v>
      </c>
      <c r="W17" t="str">
        <f t="shared" si="1"/>
        <v>0.375" (9.525 mm)</v>
      </c>
      <c r="Y17" s="35" t="s">
        <v>257</v>
      </c>
      <c r="Z17">
        <v>8.5</v>
      </c>
      <c r="AA17">
        <v>11</v>
      </c>
      <c r="AB17" t="s">
        <v>143</v>
      </c>
      <c r="AC17" s="5">
        <v>21.59</v>
      </c>
      <c r="AD17" s="5">
        <v>27.94</v>
      </c>
      <c r="AE17" t="s">
        <v>144</v>
      </c>
      <c r="AF17" t="str">
        <f>AB17&amp;" "&amp;AE17</f>
        <v>8.5" x 11" (21.59 x 27.94 cm)</v>
      </c>
      <c r="AG17" t="str">
        <f>LU_TrimSizes[[#This Row],[Trim Width (in)]]&amp;""" ("&amp;LU_TrimSizes[[#This Row],[Trim Width (cm)]]&amp;" cm)"</f>
        <v>8.5" (21.59 cm)</v>
      </c>
      <c r="AH17" t="str">
        <f>LU_TrimSizes[[#This Row],[Trim Height (in)]]&amp;""" ("&amp;LU_TrimSizes[[#This Row],[Trim Height (cm)]]&amp;" cm)"</f>
        <v>11" (27.94 cm)</v>
      </c>
      <c r="AI17" t="str">
        <f>ROUND(LU_TrimSizes[[#This Row],[Trim Width (in)]]+0.125, 5)&amp;""""</f>
        <v>8.625"</v>
      </c>
      <c r="AJ17" t="str">
        <f>ROUND(LU_TrimSizes[[#This Row],[Trim Height (in)]]+0.25, 5)&amp;""""</f>
        <v>11.25"</v>
      </c>
      <c r="AK17" t="str">
        <f>LU_TrimSizes[[#This Row],[Trim W Bleed (in)]]&amp;" ("&amp;LU_TrimSizes[[#This Row],[Trim W Bleed (cm)]]&amp;")"</f>
        <v>8.625" (21.9075 cm)</v>
      </c>
      <c r="AL17" t="str">
        <f>LU_TrimSizes[[#This Row],[Trim H Bleed (in)]]&amp;" ("&amp;LU_TrimSizes[[#This Row],[Trim H Bleed (cm)]]&amp;")"</f>
        <v>11.25" (28.575 cm)</v>
      </c>
      <c r="AM17" t="str">
        <f>ROUND(LU_TrimSizes[[#This Row],[Trim Width (in)]]*cm+blcmw, 5)&amp;" cm"</f>
        <v>21.9075 cm</v>
      </c>
      <c r="AN17" t="str">
        <f>ROUND(LU_TrimSizes[[#This Row],[Trim Height (in)]]*cm+blcmh, 5)&amp;" cm"</f>
        <v>28.575 cm</v>
      </c>
      <c r="AO17" t="str">
        <f>LU_TrimSizes[[#This Row],[Trim W Bleed (in)]]&amp;" x "&amp;LU_TrimSizes[[#This Row],[Trim H Bleed (in)]]</f>
        <v>8.625" x 11.25"</v>
      </c>
      <c r="AP17" t="str">
        <f>LU_TrimSizes[[#This Row],[Trim W Bleed (cm)]]&amp;" x "&amp;LU_TrimSizes[[#This Row],[Trim H Bleed (cm)]]</f>
        <v>21.9075 cm x 28.575 cm</v>
      </c>
      <c r="AQ17" s="13">
        <f>ROUND(LU_TrimSizes[[#This Row],[Trim Width (in)]]-GutterINmath-MarginOinMath, 5)</f>
        <v>7.875</v>
      </c>
      <c r="AR17" s="13">
        <f>ROUND(LU_TrimSizes[[#This Row],[Trim Width (cm)]]-GutterCMmath-MarginOcmMath, 5)</f>
        <v>20.002500000000001</v>
      </c>
      <c r="AS17" s="13" t="str">
        <f>LU_TrimSizes[[#This Row],[Manuscript Safe Zone W in]]&amp;""" ("&amp;LU_TrimSizes[[#This Row],[Manuscript Safe Zone W cm]]&amp;" cm)"</f>
        <v>7.875" (20.0025 cm)</v>
      </c>
      <c r="AT17" s="13">
        <f>ROUND(LU_TrimSizes[[#This Row],[Trim Height (in)]]-MarginOinMath-MarginOinMath, 5)</f>
        <v>10.5</v>
      </c>
      <c r="AU17" s="13">
        <f>ROUND(LU_TrimSizes[[#This Row],[Trim Height (cm)]]-MarginOcmMath-MarginOcmMath, 5)</f>
        <v>26.67</v>
      </c>
      <c r="AV17" s="13" t="str">
        <f>LU_TrimSizes[[#This Row],[Manuscript Safe Zone H in]]&amp;""" ("&amp;LU_TrimSizes[[#This Row],[Manuscript Safe Zone H (cm)]]&amp;" cm)"</f>
        <v>10.5" (26.67 cm)</v>
      </c>
      <c r="AW17" s="13" t="str">
        <f>LU_TrimSizes[[#This Row],[Manuscript Safe Zone W in]]&amp;""" x "&amp;LU_TrimSizes[[#This Row],[Manuscript Safe Zone H in]]&amp;""""</f>
        <v>7.875" x 10.5"</v>
      </c>
      <c r="AX17" s="13" t="str">
        <f>LU_TrimSizes[[#This Row],[Manuscript Safe Zone W cm]]&amp;" cm x "&amp;LU_TrimSizes[[#This Row],[Manuscript Safe Zone H (cm)]]&amp;" cm"</f>
        <v>20.0025 cm x 26.67 cm</v>
      </c>
      <c r="AY17" s="13">
        <f>ROUND(CBleedLin+LU_TrimSizes[[#This Row],[Trim Width (in)]]+SpineWidthInMath+LU_TrimSizes[[#This Row],[Trim Width (in)]]+CBleedRIn, 5)</f>
        <v>18.0825</v>
      </c>
      <c r="AZ17" s="13">
        <f>ROUND(LU_TrimSizes[[#This Row],[Trim Width (cm)]]+CBleedLcm+SpineWidthCmMath+CBleedRcm+LU_TrimSizes[[#This Row],[Trim Width (cm)]], 5)</f>
        <v>45.929549999999999</v>
      </c>
      <c r="BA17" s="13" t="str">
        <f>LU_TrimSizes[[#This Row],[Cover W In]]&amp;""" ("&amp;LU_TrimSizes[[#This Row],[Cover W (cm)]]&amp;" cm)"</f>
        <v>18.0825" (45.92955 cm)</v>
      </c>
      <c r="BB17" s="13">
        <f>ROUND(CBleedTIn+LU_TrimSizes[[#This Row],[Trim Height (in)]]+CBleedBIn, 5)</f>
        <v>11.25</v>
      </c>
      <c r="BC17" s="13">
        <f>ROUND(CBleedTcm+LU_TrimSizes[[#This Row],[Trim Height (cm)]]+CBleedBcm, 5)</f>
        <v>28.574999999999999</v>
      </c>
      <c r="BD17" s="13" t="str">
        <f>LU_TrimSizes[[#This Row],[Cover Height In]]&amp;""" ("&amp;LU_TrimSizes[[#This Row],[Cover Height CM]]&amp;" cm)"</f>
        <v>11.25" (28.575 cm)</v>
      </c>
      <c r="BE17" s="13" t="str">
        <f>LU_TrimSizes[[#This Row],[Cover W In]]&amp;""" x "&amp;LU_TrimSizes[[#This Row],[Cover Height In]]&amp;""""</f>
        <v>18.0825" x 11.25"</v>
      </c>
      <c r="BF17" s="13" t="str">
        <f>LU_TrimSizes[[#This Row],[Cover W (cm)]]&amp;" cm x "&amp;LU_TrimSizes[[#This Row],[Cover Height CM]]&amp;" cm"</f>
        <v>45.92955 cm x 28.575 cm</v>
      </c>
      <c r="BG17" s="13">
        <f>ROUND(LU_TrimSizes[[#This Row],[Cover W In]]-0.5, 5)</f>
        <v>17.5825</v>
      </c>
      <c r="BH17" s="13">
        <f>ROUND(LU_TrimSizes[[#This Row],[Cover W (cm)]]-1.27, 5)</f>
        <v>44.659550000000003</v>
      </c>
      <c r="BI17" s="13" t="str">
        <f>LU_TrimSizes[[#This Row],[Cover Safe Zone W (in)]]&amp;""" ("&amp;LU_TrimSizes[[#This Row],[Cover Safe Zone W cm]]&amp;" cm)"</f>
        <v>17.5825" (44.65955 cm)</v>
      </c>
      <c r="BJ17" s="13" t="str">
        <f>LU_TrimSizes[[#This Row],[Cover Safe Zone H in]]&amp;""" ("&amp;LU_TrimSizes[[#This Row],[Cover Safe Zone H cm]]&amp;" cm)"</f>
        <v>10.75" (27.305 cm)</v>
      </c>
      <c r="BK17" s="13">
        <f>ROUND(LU_TrimSizes[[#This Row],[Cover Height In]]-0.5, 5)</f>
        <v>10.75</v>
      </c>
      <c r="BL17" s="13">
        <f>ROUND(LU_TrimSizes[[#This Row],[Cover Height CM]]-1.27, 5)</f>
        <v>27.305</v>
      </c>
      <c r="BM17" s="13" t="str">
        <f>LU_TrimSizes[[#This Row],[Cover Safe Zone W (in)]]&amp;""" x "&amp;LU_TrimSizes[[#This Row],[Cover Safe Zone H in]]&amp;""""</f>
        <v>17.5825" x 10.75"</v>
      </c>
      <c r="BN17" s="13" t="str">
        <f>LU_TrimSizes[[#This Row],[Cover Safe Zone W cm]]&amp;" cm x "&amp;LU_TrimSizes[[#This Row],[Cover Safe Zone H cm]]&amp;" cm"</f>
        <v>44.65955 cm x 27.305 cm</v>
      </c>
      <c r="BO17" s="36">
        <v>550</v>
      </c>
      <c r="BP17" s="36">
        <v>590</v>
      </c>
      <c r="BQ17" s="37">
        <v>590</v>
      </c>
    </row>
    <row r="18" spans="1:69" ht="15.75" thickBot="1">
      <c r="A18">
        <v>16</v>
      </c>
      <c r="B18" s="1" t="s">
        <v>26</v>
      </c>
      <c r="C18" s="1" t="s">
        <v>27</v>
      </c>
      <c r="D18" s="1" t="s">
        <v>30</v>
      </c>
      <c r="E18" s="3" t="s">
        <v>54</v>
      </c>
      <c r="F18" s="1"/>
      <c r="G18" s="1"/>
      <c r="R18">
        <v>40</v>
      </c>
      <c r="S18">
        <v>0.375</v>
      </c>
      <c r="T18">
        <v>0.25</v>
      </c>
      <c r="U18">
        <v>0.375</v>
      </c>
      <c r="V18">
        <f t="shared" si="0"/>
        <v>9.5250000000000004</v>
      </c>
      <c r="W18" t="str">
        <f t="shared" si="1"/>
        <v>0.375" (9.525 mm)</v>
      </c>
      <c r="Y18" s="38" t="s">
        <v>258</v>
      </c>
      <c r="Z18">
        <v>8.27</v>
      </c>
      <c r="AA18">
        <v>11.69</v>
      </c>
      <c r="AB18" t="s">
        <v>260</v>
      </c>
      <c r="AC18" s="5">
        <v>21</v>
      </c>
      <c r="AD18" s="5">
        <v>29.7</v>
      </c>
      <c r="AE18" t="s">
        <v>261</v>
      </c>
      <c r="AF18" t="str">
        <f>AB18&amp;" "&amp;AE18</f>
        <v>8.27" x 11.69" (21 x 29.7 cm)</v>
      </c>
      <c r="AG18" s="13" t="str">
        <f>LU_TrimSizes[[#This Row],[Trim Width (in)]]&amp;""" ("&amp;LU_TrimSizes[[#This Row],[Trim Width (cm)]]&amp;" cm)"</f>
        <v>8.27" (21 cm)</v>
      </c>
      <c r="AH18" s="13" t="str">
        <f>LU_TrimSizes[[#This Row],[Trim Height (in)]]&amp;""" ("&amp;LU_TrimSizes[[#This Row],[Trim Height (cm)]]&amp;" cm)"</f>
        <v>11.69" (29.7 cm)</v>
      </c>
      <c r="AI18" s="13" t="str">
        <f>ROUND(LU_TrimSizes[[#This Row],[Trim Width (in)]]+0.125, 5)&amp;""""</f>
        <v>8.395"</v>
      </c>
      <c r="AJ18" s="13" t="str">
        <f>ROUND(LU_TrimSizes[[#This Row],[Trim Height (in)]]+0.25, 5)&amp;""""</f>
        <v>11.94"</v>
      </c>
      <c r="AK18" s="13" t="str">
        <f>LU_TrimSizes[[#This Row],[Trim W Bleed (in)]]&amp;" ("&amp;LU_TrimSizes[[#This Row],[Trim W Bleed (cm)]]&amp;")"</f>
        <v>8.395" (21.3233 cm)</v>
      </c>
      <c r="AL18" s="13" t="str">
        <f>LU_TrimSizes[[#This Row],[Trim H Bleed (in)]]&amp;" ("&amp;LU_TrimSizes[[#This Row],[Trim H Bleed (cm)]]&amp;")"</f>
        <v>11.94" (30.3276 cm)</v>
      </c>
      <c r="AM18" s="13" t="str">
        <f>ROUND(LU_TrimSizes[[#This Row],[Trim Width (in)]]*cm+blcmw, 5)&amp;" cm"</f>
        <v>21.3233 cm</v>
      </c>
      <c r="AN18" s="13" t="str">
        <f>ROUND(LU_TrimSizes[[#This Row],[Trim Height (in)]]*cm+blcmh, 5)&amp;" cm"</f>
        <v>30.3276 cm</v>
      </c>
      <c r="AO18" s="13" t="str">
        <f>LU_TrimSizes[[#This Row],[Trim W Bleed (in)]]&amp;" x "&amp;LU_TrimSizes[[#This Row],[Trim H Bleed (in)]]</f>
        <v>8.395" x 11.94"</v>
      </c>
      <c r="AP18" s="13" t="str">
        <f>LU_TrimSizes[[#This Row],[Trim W Bleed (cm)]]&amp;" x "&amp;LU_TrimSizes[[#This Row],[Trim H Bleed (cm)]]</f>
        <v>21.3233 cm x 30.3276 cm</v>
      </c>
      <c r="AQ18" s="13">
        <f>ROUND(LU_TrimSizes[[#This Row],[Trim Width (in)]]-GutterINmath-MarginOinMath, 5)</f>
        <v>7.6449999999999996</v>
      </c>
      <c r="AR18" s="13">
        <f>ROUND(LU_TrimSizes[[#This Row],[Trim Width (cm)]]-GutterCMmath-MarginOcmMath, 5)</f>
        <v>19.412500000000001</v>
      </c>
      <c r="AS18" s="13" t="str">
        <f>LU_TrimSizes[[#This Row],[Manuscript Safe Zone W in]]&amp;""" ("&amp;LU_TrimSizes[[#This Row],[Manuscript Safe Zone W cm]]&amp;" cm)"</f>
        <v>7.645" (19.4125 cm)</v>
      </c>
      <c r="AT18" s="13">
        <f>ROUND(LU_TrimSizes[[#This Row],[Trim Height (in)]]-MarginOinMath-MarginOinMath, 5)</f>
        <v>11.19</v>
      </c>
      <c r="AU18" s="13">
        <f>ROUND(LU_TrimSizes[[#This Row],[Trim Height (cm)]]-MarginOcmMath-MarginOcmMath, 5)</f>
        <v>28.43</v>
      </c>
      <c r="AV18" s="13" t="str">
        <f>LU_TrimSizes[[#This Row],[Manuscript Safe Zone H in]]&amp;""" ("&amp;LU_TrimSizes[[#This Row],[Manuscript Safe Zone H (cm)]]&amp;" cm)"</f>
        <v>11.19" (28.43 cm)</v>
      </c>
      <c r="AW18" s="13" t="str">
        <f>LU_TrimSizes[[#This Row],[Manuscript Safe Zone W in]]&amp;""" x "&amp;LU_TrimSizes[[#This Row],[Manuscript Safe Zone H in]]&amp;""""</f>
        <v>7.645" x 11.19"</v>
      </c>
      <c r="AX18" s="13" t="str">
        <f>LU_TrimSizes[[#This Row],[Manuscript Safe Zone W cm]]&amp;" cm x "&amp;LU_TrimSizes[[#This Row],[Manuscript Safe Zone H (cm)]]&amp;" cm"</f>
        <v>19.4125 cm x 28.43 cm</v>
      </c>
      <c r="AY18" s="13">
        <f>ROUND(CBleedLin+LU_TrimSizes[[#This Row],[Trim Width (in)]]+SpineWidthInMath+LU_TrimSizes[[#This Row],[Trim Width (in)]]+CBleedRIn, 5)</f>
        <v>17.622499999999999</v>
      </c>
      <c r="AZ18" s="13">
        <f>ROUND(LU_TrimSizes[[#This Row],[Trim Width (cm)]]+CBleedLcm+SpineWidthCmMath+CBleedRcm+LU_TrimSizes[[#This Row],[Trim Width (cm)]], 5)</f>
        <v>44.749549999999999</v>
      </c>
      <c r="BA18" s="13" t="str">
        <f>LU_TrimSizes[[#This Row],[Cover W In]]&amp;""" ("&amp;LU_TrimSizes[[#This Row],[Cover W (cm)]]&amp;" cm)"</f>
        <v>17.6225" (44.74955 cm)</v>
      </c>
      <c r="BB18" s="13">
        <f>ROUND(CBleedTIn+LU_TrimSizes[[#This Row],[Trim Height (in)]]+CBleedBIn, 5)</f>
        <v>11.94</v>
      </c>
      <c r="BC18" s="13">
        <f>ROUND(CBleedTcm+LU_TrimSizes[[#This Row],[Trim Height (cm)]]+CBleedBcm, 5)</f>
        <v>30.335000000000001</v>
      </c>
      <c r="BD18" s="13" t="str">
        <f>LU_TrimSizes[[#This Row],[Cover Height In]]&amp;""" ("&amp;LU_TrimSizes[[#This Row],[Cover Height CM]]&amp;" cm)"</f>
        <v>11.94" (30.335 cm)</v>
      </c>
      <c r="BE18" s="13" t="str">
        <f>LU_TrimSizes[[#This Row],[Cover W In]]&amp;""" x "&amp;LU_TrimSizes[[#This Row],[Cover Height In]]&amp;""""</f>
        <v>17.6225" x 11.94"</v>
      </c>
      <c r="BF18" s="13" t="str">
        <f>LU_TrimSizes[[#This Row],[Cover W (cm)]]&amp;" cm x "&amp;LU_TrimSizes[[#This Row],[Cover Height CM]]&amp;" cm"</f>
        <v>44.74955 cm x 30.335 cm</v>
      </c>
      <c r="BG18" s="13">
        <f>ROUND(LU_TrimSizes[[#This Row],[Cover W In]]-0.5, 5)</f>
        <v>17.122499999999999</v>
      </c>
      <c r="BH18" s="13">
        <f>ROUND(LU_TrimSizes[[#This Row],[Cover W (cm)]]-1.27, 5)</f>
        <v>43.479550000000003</v>
      </c>
      <c r="BI18" s="13" t="str">
        <f>LU_TrimSizes[[#This Row],[Cover Safe Zone W (in)]]&amp;""" ("&amp;LU_TrimSizes[[#This Row],[Cover Safe Zone W cm]]&amp;" cm)"</f>
        <v>17.1225" (43.47955 cm)</v>
      </c>
      <c r="BJ18" s="13" t="str">
        <f>LU_TrimSizes[[#This Row],[Cover Safe Zone H in]]&amp;""" ("&amp;LU_TrimSizes[[#This Row],[Cover Safe Zone H cm]]&amp;" cm)"</f>
        <v>11.44" (29.065 cm)</v>
      </c>
      <c r="BK18" s="13">
        <f>ROUND(LU_TrimSizes[[#This Row],[Cover Height In]]-0.5, 5)</f>
        <v>11.44</v>
      </c>
      <c r="BL18" s="13">
        <f>ROUND(LU_TrimSizes[[#This Row],[Cover Height CM]]-1.27, 5)</f>
        <v>29.065000000000001</v>
      </c>
      <c r="BM18" s="13" t="str">
        <f>LU_TrimSizes[[#This Row],[Cover Safe Zone W (in)]]&amp;""" x "&amp;LU_TrimSizes[[#This Row],[Cover Safe Zone H in]]&amp;""""</f>
        <v>17.1225" x 11.44"</v>
      </c>
      <c r="BN18" s="13" t="str">
        <f>LU_TrimSizes[[#This Row],[Cover Safe Zone W cm]]&amp;" cm x "&amp;LU_TrimSizes[[#This Row],[Cover Safe Zone H cm]]&amp;" cm"</f>
        <v>43.47955 cm x 29.065 cm</v>
      </c>
      <c r="BO18" s="39">
        <v>730</v>
      </c>
      <c r="BP18" s="39">
        <v>780</v>
      </c>
      <c r="BQ18" s="40">
        <v>0</v>
      </c>
    </row>
    <row r="19" spans="1:69">
      <c r="A19">
        <v>17</v>
      </c>
      <c r="B19" s="1" t="s">
        <v>26</v>
      </c>
      <c r="C19" s="1" t="s">
        <v>27</v>
      </c>
      <c r="D19" s="1" t="s">
        <v>31</v>
      </c>
      <c r="E19" s="3" t="s">
        <v>56</v>
      </c>
      <c r="F19" s="1"/>
      <c r="G19" s="1"/>
      <c r="R19">
        <v>41</v>
      </c>
      <c r="S19">
        <v>0.375</v>
      </c>
      <c r="T19">
        <v>0.25</v>
      </c>
      <c r="U19">
        <v>0.375</v>
      </c>
      <c r="V19">
        <f t="shared" si="0"/>
        <v>9.5250000000000004</v>
      </c>
      <c r="W19" t="str">
        <f t="shared" si="1"/>
        <v>0.375" (9.525 mm)</v>
      </c>
    </row>
    <row r="20" spans="1:69">
      <c r="A20">
        <v>18</v>
      </c>
      <c r="B20" s="1" t="s">
        <v>26</v>
      </c>
      <c r="C20" s="1" t="s">
        <v>27</v>
      </c>
      <c r="D20" s="1" t="s">
        <v>32</v>
      </c>
      <c r="E20" s="3" t="s">
        <v>55</v>
      </c>
      <c r="F20" s="1"/>
      <c r="R20">
        <v>42</v>
      </c>
      <c r="S20">
        <v>0.375</v>
      </c>
      <c r="T20">
        <v>0.25</v>
      </c>
      <c r="U20">
        <v>0.375</v>
      </c>
      <c r="V20">
        <f t="shared" si="0"/>
        <v>9.5250000000000004</v>
      </c>
      <c r="W20" t="str">
        <f t="shared" si="1"/>
        <v>0.375" (9.525 mm)</v>
      </c>
      <c r="Y20">
        <v>1</v>
      </c>
      <c r="Z20">
        <v>2</v>
      </c>
      <c r="AA20">
        <v>3</v>
      </c>
      <c r="AB20">
        <v>4</v>
      </c>
      <c r="AC20">
        <v>5</v>
      </c>
      <c r="AD20">
        <v>6</v>
      </c>
      <c r="AE20">
        <v>7</v>
      </c>
      <c r="AF20">
        <v>8</v>
      </c>
      <c r="AG20">
        <v>9</v>
      </c>
      <c r="AH20">
        <v>10</v>
      </c>
      <c r="AI20">
        <v>11</v>
      </c>
      <c r="AJ20">
        <v>12</v>
      </c>
      <c r="AK20">
        <v>13</v>
      </c>
      <c r="AL20">
        <v>14</v>
      </c>
      <c r="AM20">
        <v>15</v>
      </c>
      <c r="AN20">
        <v>16</v>
      </c>
      <c r="AO20">
        <v>17</v>
      </c>
      <c r="AP20">
        <v>18</v>
      </c>
      <c r="AQ20">
        <v>19</v>
      </c>
      <c r="AR20">
        <v>20</v>
      </c>
      <c r="AS20">
        <v>21</v>
      </c>
      <c r="AT20">
        <v>22</v>
      </c>
      <c r="AU20">
        <v>23</v>
      </c>
      <c r="AV20">
        <v>24</v>
      </c>
      <c r="AW20">
        <v>25</v>
      </c>
      <c r="AX20">
        <v>26</v>
      </c>
      <c r="AY20">
        <v>27</v>
      </c>
      <c r="AZ20">
        <v>28</v>
      </c>
      <c r="BA20">
        <v>29</v>
      </c>
      <c r="BB20">
        <v>30</v>
      </c>
      <c r="BC20">
        <v>31</v>
      </c>
      <c r="BD20">
        <v>32</v>
      </c>
      <c r="BE20">
        <v>33</v>
      </c>
      <c r="BF20">
        <v>34</v>
      </c>
      <c r="BG20">
        <v>35</v>
      </c>
      <c r="BH20">
        <v>36</v>
      </c>
      <c r="BI20">
        <v>37</v>
      </c>
      <c r="BJ20">
        <v>38</v>
      </c>
      <c r="BK20">
        <v>39</v>
      </c>
      <c r="BL20">
        <v>40</v>
      </c>
      <c r="BM20">
        <v>41</v>
      </c>
      <c r="BN20">
        <v>42</v>
      </c>
      <c r="BO20">
        <v>43</v>
      </c>
      <c r="BP20">
        <v>44</v>
      </c>
      <c r="BQ20">
        <v>45</v>
      </c>
    </row>
    <row r="21" spans="1:69">
      <c r="A21">
        <v>19</v>
      </c>
      <c r="B21" s="1" t="s">
        <v>26</v>
      </c>
      <c r="C21" s="1" t="s">
        <v>27</v>
      </c>
      <c r="D21" s="1" t="s">
        <v>12</v>
      </c>
      <c r="E21" s="3" t="s">
        <v>60</v>
      </c>
      <c r="F21" s="1"/>
      <c r="G21" s="1"/>
      <c r="R21">
        <v>43</v>
      </c>
      <c r="S21">
        <v>0.375</v>
      </c>
      <c r="T21">
        <v>0.25</v>
      </c>
      <c r="U21">
        <v>0.375</v>
      </c>
      <c r="V21">
        <f t="shared" si="0"/>
        <v>9.5250000000000004</v>
      </c>
      <c r="W21" t="str">
        <f t="shared" si="1"/>
        <v>0.375" (9.525 mm)</v>
      </c>
    </row>
    <row r="22" spans="1:69">
      <c r="A22">
        <v>20</v>
      </c>
      <c r="B22" s="1" t="s">
        <v>26</v>
      </c>
      <c r="C22" s="1" t="s">
        <v>27</v>
      </c>
      <c r="D22" s="1" t="s">
        <v>33</v>
      </c>
      <c r="E22" s="3" t="s">
        <v>61</v>
      </c>
      <c r="F22" s="1"/>
      <c r="G22" s="1"/>
      <c r="R22">
        <v>44</v>
      </c>
      <c r="S22">
        <v>0.375</v>
      </c>
      <c r="T22">
        <v>0.25</v>
      </c>
      <c r="U22">
        <v>0.375</v>
      </c>
      <c r="V22">
        <f t="shared" si="0"/>
        <v>9.5250000000000004</v>
      </c>
      <c r="W22" t="str">
        <f t="shared" si="1"/>
        <v>0.375" (9.525 mm)</v>
      </c>
      <c r="Y22" s="30"/>
      <c r="Z22" s="28"/>
      <c r="AA22" s="28"/>
      <c r="AB22" s="28"/>
      <c r="AC22" s="31"/>
      <c r="AD22" s="31"/>
      <c r="AE22" s="28"/>
    </row>
    <row r="23" spans="1:69">
      <c r="A23">
        <v>21</v>
      </c>
      <c r="B23" s="1" t="s">
        <v>26</v>
      </c>
      <c r="C23" s="1" t="s">
        <v>27</v>
      </c>
      <c r="D23" s="1" t="s">
        <v>21</v>
      </c>
      <c r="E23" s="3" t="s">
        <v>43</v>
      </c>
      <c r="F23" s="1"/>
      <c r="G23" s="1"/>
      <c r="R23">
        <v>45</v>
      </c>
      <c r="S23">
        <v>0.375</v>
      </c>
      <c r="T23">
        <v>0.25</v>
      </c>
      <c r="U23">
        <v>0.375</v>
      </c>
      <c r="V23">
        <f t="shared" si="0"/>
        <v>9.5250000000000004</v>
      </c>
      <c r="W23" t="str">
        <f t="shared" si="1"/>
        <v>0.375" (9.525 mm)</v>
      </c>
    </row>
    <row r="24" spans="1:69" ht="45">
      <c r="A24">
        <v>22</v>
      </c>
      <c r="B24" s="1" t="s">
        <v>26</v>
      </c>
      <c r="C24" s="1" t="s">
        <v>27</v>
      </c>
      <c r="D24" s="1" t="s">
        <v>15</v>
      </c>
      <c r="E24" s="3" t="s">
        <v>44</v>
      </c>
      <c r="F24" s="1"/>
      <c r="G24" s="1"/>
      <c r="R24">
        <v>46</v>
      </c>
      <c r="S24">
        <v>0.375</v>
      </c>
      <c r="T24">
        <v>0.25</v>
      </c>
      <c r="U24">
        <v>0.375</v>
      </c>
      <c r="V24">
        <f t="shared" si="0"/>
        <v>9.5250000000000004</v>
      </c>
      <c r="W24" t="str">
        <f t="shared" si="1"/>
        <v>0.375" (9.525 mm)</v>
      </c>
      <c r="Y24" s="26" t="s">
        <v>15</v>
      </c>
      <c r="Z24" s="27" t="s">
        <v>239</v>
      </c>
      <c r="AA24" s="27" t="s">
        <v>238</v>
      </c>
      <c r="AB24" s="27" t="s">
        <v>240</v>
      </c>
    </row>
    <row r="25" spans="1:69">
      <c r="A25">
        <v>23</v>
      </c>
      <c r="B25" s="1" t="s">
        <v>26</v>
      </c>
      <c r="C25" s="1" t="s">
        <v>27</v>
      </c>
      <c r="D25" s="1" t="s">
        <v>34</v>
      </c>
      <c r="E25" s="3" t="s">
        <v>45</v>
      </c>
      <c r="F25" s="1"/>
      <c r="G25" s="1"/>
      <c r="R25">
        <v>47</v>
      </c>
      <c r="S25">
        <v>0.375</v>
      </c>
      <c r="T25">
        <v>0.25</v>
      </c>
      <c r="U25">
        <v>0.375</v>
      </c>
      <c r="V25">
        <f t="shared" si="0"/>
        <v>9.5250000000000004</v>
      </c>
      <c r="W25" t="str">
        <f t="shared" si="1"/>
        <v>0.375" (9.525 mm)</v>
      </c>
      <c r="Y25" t="s">
        <v>243</v>
      </c>
      <c r="Z25">
        <v>828</v>
      </c>
      <c r="AA25">
        <v>776</v>
      </c>
      <c r="AB25">
        <v>828</v>
      </c>
    </row>
    <row r="26" spans="1:69">
      <c r="A26">
        <v>24</v>
      </c>
      <c r="B26" s="1" t="s">
        <v>26</v>
      </c>
      <c r="C26" s="1" t="s">
        <v>27</v>
      </c>
      <c r="D26" s="1" t="s">
        <v>35</v>
      </c>
      <c r="E26" s="3" t="s">
        <v>62</v>
      </c>
      <c r="F26" s="1"/>
      <c r="G26" s="1"/>
      <c r="R26">
        <v>48</v>
      </c>
      <c r="S26">
        <v>0.375</v>
      </c>
      <c r="T26">
        <v>0.25</v>
      </c>
      <c r="U26">
        <v>0.375</v>
      </c>
      <c r="V26">
        <f t="shared" si="0"/>
        <v>9.5250000000000004</v>
      </c>
      <c r="W26" t="str">
        <f t="shared" si="1"/>
        <v>0.375" (9.525 mm)</v>
      </c>
      <c r="Y26" t="s">
        <v>244</v>
      </c>
      <c r="Z26">
        <v>828</v>
      </c>
      <c r="AA26">
        <v>776</v>
      </c>
      <c r="AB26">
        <v>828</v>
      </c>
    </row>
    <row r="27" spans="1:69">
      <c r="A27">
        <v>25</v>
      </c>
      <c r="B27" s="1" t="s">
        <v>26</v>
      </c>
      <c r="C27" s="1" t="s">
        <v>36</v>
      </c>
      <c r="D27" s="1" t="s">
        <v>28</v>
      </c>
      <c r="E27" s="3" t="s">
        <v>52</v>
      </c>
      <c r="F27" s="1"/>
      <c r="G27" s="1"/>
      <c r="R27">
        <v>49</v>
      </c>
      <c r="S27">
        <v>0.375</v>
      </c>
      <c r="T27">
        <v>0.25</v>
      </c>
      <c r="U27">
        <v>0.375</v>
      </c>
      <c r="V27">
        <f t="shared" si="0"/>
        <v>9.5250000000000004</v>
      </c>
      <c r="W27" t="str">
        <f t="shared" si="1"/>
        <v>0.375" (9.525 mm)</v>
      </c>
      <c r="Y27" t="s">
        <v>245</v>
      </c>
      <c r="Z27">
        <v>828</v>
      </c>
      <c r="AA27">
        <v>776</v>
      </c>
      <c r="AB27">
        <v>828</v>
      </c>
    </row>
    <row r="28" spans="1:69">
      <c r="A28">
        <v>26</v>
      </c>
      <c r="B28" s="1" t="s">
        <v>26</v>
      </c>
      <c r="C28" s="1" t="s">
        <v>36</v>
      </c>
      <c r="D28" s="1" t="s">
        <v>29</v>
      </c>
      <c r="E28" s="3" t="s">
        <v>53</v>
      </c>
      <c r="F28" s="1"/>
      <c r="G28" s="1"/>
      <c r="R28">
        <v>50</v>
      </c>
      <c r="S28">
        <v>0.375</v>
      </c>
      <c r="T28">
        <v>0.25</v>
      </c>
      <c r="U28">
        <v>0.375</v>
      </c>
      <c r="V28">
        <f t="shared" si="0"/>
        <v>9.5250000000000004</v>
      </c>
      <c r="W28" t="str">
        <f t="shared" si="1"/>
        <v>0.375" (9.525 mm)</v>
      </c>
      <c r="Y28" t="s">
        <v>246</v>
      </c>
      <c r="Z28">
        <v>828</v>
      </c>
      <c r="AA28">
        <v>776</v>
      </c>
      <c r="AB28">
        <v>828</v>
      </c>
    </row>
    <row r="29" spans="1:69">
      <c r="A29">
        <v>27</v>
      </c>
      <c r="B29" s="1" t="s">
        <v>26</v>
      </c>
      <c r="C29" s="1" t="s">
        <v>36</v>
      </c>
      <c r="D29" s="1" t="s">
        <v>30</v>
      </c>
      <c r="E29" s="3" t="s">
        <v>54</v>
      </c>
      <c r="F29" s="1"/>
      <c r="G29" s="1"/>
      <c r="R29">
        <v>51</v>
      </c>
      <c r="S29">
        <v>0.375</v>
      </c>
      <c r="T29">
        <v>0.25</v>
      </c>
      <c r="U29">
        <v>0.375</v>
      </c>
      <c r="V29">
        <f t="shared" si="0"/>
        <v>9.5250000000000004</v>
      </c>
      <c r="W29" t="str">
        <f t="shared" si="1"/>
        <v>0.375" (9.525 mm)</v>
      </c>
      <c r="Y29" t="s">
        <v>247</v>
      </c>
      <c r="Z29">
        <v>828</v>
      </c>
      <c r="AA29">
        <v>776</v>
      </c>
      <c r="AB29">
        <v>828</v>
      </c>
    </row>
    <row r="30" spans="1:69">
      <c r="A30">
        <v>28</v>
      </c>
      <c r="B30" s="1" t="s">
        <v>26</v>
      </c>
      <c r="C30" s="1" t="s">
        <v>36</v>
      </c>
      <c r="D30" s="1" t="s">
        <v>31</v>
      </c>
      <c r="E30" s="3" t="s">
        <v>56</v>
      </c>
      <c r="F30" s="1"/>
      <c r="G30" s="1"/>
      <c r="R30">
        <v>52</v>
      </c>
      <c r="S30">
        <v>0.375</v>
      </c>
      <c r="T30">
        <v>0.25</v>
      </c>
      <c r="U30">
        <v>0.375</v>
      </c>
      <c r="V30">
        <f t="shared" si="0"/>
        <v>9.5250000000000004</v>
      </c>
      <c r="W30" t="str">
        <f t="shared" si="1"/>
        <v>0.375" (9.525 mm)</v>
      </c>
      <c r="Y30" t="s">
        <v>248</v>
      </c>
      <c r="Z30">
        <v>828</v>
      </c>
      <c r="AA30">
        <v>776</v>
      </c>
      <c r="AB30">
        <v>828</v>
      </c>
    </row>
    <row r="31" spans="1:69">
      <c r="A31">
        <v>29</v>
      </c>
      <c r="B31" s="1" t="s">
        <v>26</v>
      </c>
      <c r="C31" s="1" t="s">
        <v>36</v>
      </c>
      <c r="D31" s="1" t="s">
        <v>32</v>
      </c>
      <c r="E31" s="3" t="s">
        <v>55</v>
      </c>
      <c r="F31" s="1"/>
      <c r="G31" s="1"/>
      <c r="R31">
        <v>53</v>
      </c>
      <c r="S31">
        <v>0.375</v>
      </c>
      <c r="T31">
        <v>0.25</v>
      </c>
      <c r="U31">
        <v>0.375</v>
      </c>
      <c r="V31">
        <f t="shared" si="0"/>
        <v>9.5250000000000004</v>
      </c>
      <c r="W31" t="str">
        <f t="shared" si="1"/>
        <v>0.375" (9.525 mm)</v>
      </c>
      <c r="Y31" t="s">
        <v>249</v>
      </c>
      <c r="Z31">
        <v>828</v>
      </c>
      <c r="AA31">
        <v>776</v>
      </c>
      <c r="AB31">
        <v>828</v>
      </c>
    </row>
    <row r="32" spans="1:69">
      <c r="A32">
        <v>30</v>
      </c>
      <c r="B32" s="1" t="s">
        <v>26</v>
      </c>
      <c r="C32" s="1" t="s">
        <v>36</v>
      </c>
      <c r="D32" s="1" t="s">
        <v>12</v>
      </c>
      <c r="E32" s="3" t="s">
        <v>60</v>
      </c>
      <c r="F32" s="1"/>
      <c r="G32" s="1"/>
      <c r="R32">
        <v>54</v>
      </c>
      <c r="S32">
        <v>0.375</v>
      </c>
      <c r="T32">
        <v>0.25</v>
      </c>
      <c r="U32">
        <v>0.375</v>
      </c>
      <c r="V32">
        <f t="shared" si="0"/>
        <v>9.5250000000000004</v>
      </c>
      <c r="W32" t="str">
        <f t="shared" si="1"/>
        <v>0.375" (9.525 mm)</v>
      </c>
      <c r="Y32" t="s">
        <v>250</v>
      </c>
      <c r="Z32">
        <v>828</v>
      </c>
      <c r="AA32">
        <v>776</v>
      </c>
      <c r="AB32">
        <v>828</v>
      </c>
    </row>
    <row r="33" spans="1:28">
      <c r="A33">
        <v>31</v>
      </c>
      <c r="B33" s="1" t="s">
        <v>26</v>
      </c>
      <c r="C33" s="1" t="s">
        <v>36</v>
      </c>
      <c r="D33" s="1" t="s">
        <v>33</v>
      </c>
      <c r="E33" s="3" t="s">
        <v>61</v>
      </c>
      <c r="F33" s="1"/>
      <c r="G33" s="1"/>
      <c r="R33">
        <v>55</v>
      </c>
      <c r="S33">
        <v>0.375</v>
      </c>
      <c r="T33">
        <v>0.25</v>
      </c>
      <c r="U33">
        <v>0.375</v>
      </c>
      <c r="V33">
        <f t="shared" si="0"/>
        <v>9.5250000000000004</v>
      </c>
      <c r="W33" t="str">
        <f t="shared" si="1"/>
        <v>0.375" (9.525 mm)</v>
      </c>
      <c r="Y33" t="s">
        <v>251</v>
      </c>
      <c r="Z33">
        <v>828</v>
      </c>
      <c r="AA33">
        <v>776</v>
      </c>
      <c r="AB33">
        <v>828</v>
      </c>
    </row>
    <row r="34" spans="1:28">
      <c r="A34">
        <v>32</v>
      </c>
      <c r="B34" s="1" t="s">
        <v>26</v>
      </c>
      <c r="C34" s="1" t="s">
        <v>36</v>
      </c>
      <c r="D34" s="1" t="s">
        <v>21</v>
      </c>
      <c r="E34" s="3" t="s">
        <v>43</v>
      </c>
      <c r="F34" s="1"/>
      <c r="G34" s="1"/>
      <c r="R34">
        <v>56</v>
      </c>
      <c r="S34">
        <v>0.375</v>
      </c>
      <c r="T34">
        <v>0.25</v>
      </c>
      <c r="U34">
        <v>0.375</v>
      </c>
      <c r="V34">
        <f t="shared" si="0"/>
        <v>9.5250000000000004</v>
      </c>
      <c r="W34" t="str">
        <f t="shared" si="1"/>
        <v>0.375" (9.525 mm)</v>
      </c>
      <c r="Y34" t="s">
        <v>252</v>
      </c>
      <c r="Z34">
        <v>828</v>
      </c>
      <c r="AA34">
        <v>776</v>
      </c>
      <c r="AB34">
        <v>828</v>
      </c>
    </row>
    <row r="35" spans="1:28">
      <c r="A35">
        <v>33</v>
      </c>
      <c r="B35" s="1" t="s">
        <v>26</v>
      </c>
      <c r="C35" s="1" t="s">
        <v>36</v>
      </c>
      <c r="D35" s="1" t="s">
        <v>15</v>
      </c>
      <c r="E35" s="3" t="s">
        <v>44</v>
      </c>
      <c r="F35" s="1"/>
      <c r="G35" s="1"/>
      <c r="R35">
        <v>57</v>
      </c>
      <c r="S35">
        <v>0.375</v>
      </c>
      <c r="T35">
        <v>0.25</v>
      </c>
      <c r="U35">
        <v>0.375</v>
      </c>
      <c r="V35">
        <f t="shared" si="0"/>
        <v>9.5250000000000004</v>
      </c>
      <c r="W35" t="str">
        <f t="shared" si="1"/>
        <v>0.375" (9.525 mm)</v>
      </c>
      <c r="Y35" t="s">
        <v>253</v>
      </c>
      <c r="Z35">
        <v>828</v>
      </c>
      <c r="AA35">
        <v>776</v>
      </c>
      <c r="AB35">
        <v>828</v>
      </c>
    </row>
    <row r="36" spans="1:28">
      <c r="A36">
        <v>34</v>
      </c>
      <c r="B36" s="1" t="s">
        <v>26</v>
      </c>
      <c r="C36" s="1" t="s">
        <v>36</v>
      </c>
      <c r="D36" s="1" t="s">
        <v>34</v>
      </c>
      <c r="E36" s="3" t="s">
        <v>45</v>
      </c>
      <c r="F36" s="1"/>
      <c r="G36" s="1"/>
      <c r="R36">
        <v>58</v>
      </c>
      <c r="S36">
        <v>0.375</v>
      </c>
      <c r="T36">
        <v>0.25</v>
      </c>
      <c r="U36">
        <v>0.375</v>
      </c>
      <c r="V36">
        <f t="shared" si="0"/>
        <v>9.5250000000000004</v>
      </c>
      <c r="W36" t="str">
        <f t="shared" si="1"/>
        <v>0.375" (9.525 mm)</v>
      </c>
      <c r="Y36" t="s">
        <v>254</v>
      </c>
      <c r="Z36">
        <v>800</v>
      </c>
      <c r="AA36">
        <v>750</v>
      </c>
      <c r="AB36">
        <v>800</v>
      </c>
    </row>
    <row r="37" spans="1:28">
      <c r="A37">
        <v>35</v>
      </c>
      <c r="B37" s="1" t="s">
        <v>26</v>
      </c>
      <c r="C37" s="1" t="s">
        <v>36</v>
      </c>
      <c r="D37" s="1" t="s">
        <v>35</v>
      </c>
      <c r="E37" s="3" t="s">
        <v>63</v>
      </c>
      <c r="F37" s="1"/>
      <c r="G37" s="1"/>
      <c r="R37">
        <v>59</v>
      </c>
      <c r="S37">
        <v>0.375</v>
      </c>
      <c r="T37">
        <v>0.25</v>
      </c>
      <c r="U37">
        <v>0.375</v>
      </c>
      <c r="V37">
        <f t="shared" si="0"/>
        <v>9.5250000000000004</v>
      </c>
      <c r="W37" t="str">
        <f t="shared" si="1"/>
        <v>0.375" (9.525 mm)</v>
      </c>
      <c r="Y37" t="s">
        <v>255</v>
      </c>
      <c r="Z37">
        <v>800</v>
      </c>
      <c r="AA37">
        <v>750</v>
      </c>
      <c r="AB37">
        <v>800</v>
      </c>
    </row>
    <row r="38" spans="1:28">
      <c r="A38">
        <v>36</v>
      </c>
      <c r="B38" s="1" t="s">
        <v>42</v>
      </c>
      <c r="C38" s="1" t="s">
        <v>42</v>
      </c>
      <c r="D38" s="1" t="s">
        <v>64</v>
      </c>
      <c r="E38" s="3" t="s">
        <v>65</v>
      </c>
      <c r="R38">
        <v>60</v>
      </c>
      <c r="S38">
        <v>0.375</v>
      </c>
      <c r="T38">
        <v>0.25</v>
      </c>
      <c r="U38">
        <v>0.375</v>
      </c>
      <c r="V38">
        <f t="shared" si="0"/>
        <v>9.5250000000000004</v>
      </c>
      <c r="W38" t="str">
        <f t="shared" si="1"/>
        <v>0.375" (9.525 mm)</v>
      </c>
      <c r="Y38" t="s">
        <v>256</v>
      </c>
      <c r="Z38">
        <v>590</v>
      </c>
      <c r="AA38">
        <v>550</v>
      </c>
      <c r="AB38">
        <v>590</v>
      </c>
    </row>
    <row r="39" spans="1:28">
      <c r="A39">
        <v>37</v>
      </c>
      <c r="B39" s="1" t="s">
        <v>42</v>
      </c>
      <c r="C39" s="1" t="s">
        <v>42</v>
      </c>
      <c r="D39" s="1" t="s">
        <v>15</v>
      </c>
      <c r="E39" s="3" t="s">
        <v>48</v>
      </c>
      <c r="R39">
        <v>61</v>
      </c>
      <c r="S39">
        <v>0.375</v>
      </c>
      <c r="T39">
        <v>0.25</v>
      </c>
      <c r="U39">
        <v>0.375</v>
      </c>
      <c r="V39">
        <f t="shared" si="0"/>
        <v>9.5250000000000004</v>
      </c>
      <c r="W39" t="str">
        <f t="shared" si="1"/>
        <v>0.375" (9.525 mm)</v>
      </c>
      <c r="Y39" s="29" t="s">
        <v>257</v>
      </c>
      <c r="Z39">
        <v>590</v>
      </c>
      <c r="AA39">
        <v>550</v>
      </c>
      <c r="AB39">
        <v>590</v>
      </c>
    </row>
    <row r="40" spans="1:28">
      <c r="A40">
        <v>38</v>
      </c>
      <c r="B40" s="1" t="s">
        <v>42</v>
      </c>
      <c r="C40" s="1" t="s">
        <v>42</v>
      </c>
      <c r="D40" s="1" t="s">
        <v>7</v>
      </c>
      <c r="E40" s="3" t="s">
        <v>66</v>
      </c>
      <c r="R40">
        <v>62</v>
      </c>
      <c r="S40">
        <v>0.375</v>
      </c>
      <c r="T40">
        <v>0.25</v>
      </c>
      <c r="U40">
        <v>0.375</v>
      </c>
      <c r="V40">
        <f t="shared" si="0"/>
        <v>9.5250000000000004</v>
      </c>
      <c r="W40" t="str">
        <f t="shared" si="1"/>
        <v>0.375" (9.525 mm)</v>
      </c>
      <c r="Y40" s="12" t="s">
        <v>258</v>
      </c>
      <c r="Z40" s="41">
        <v>780</v>
      </c>
      <c r="AA40" s="42">
        <v>730</v>
      </c>
      <c r="AB40" s="27" t="s">
        <v>259</v>
      </c>
    </row>
    <row r="41" spans="1:28">
      <c r="A41">
        <v>39</v>
      </c>
      <c r="B41" s="1" t="s">
        <v>42</v>
      </c>
      <c r="C41" s="1" t="s">
        <v>42</v>
      </c>
      <c r="D41" s="1" t="s">
        <v>8</v>
      </c>
      <c r="E41" s="3" t="s">
        <v>67</v>
      </c>
      <c r="R41">
        <v>63</v>
      </c>
      <c r="S41">
        <v>0.375</v>
      </c>
      <c r="T41">
        <v>0.25</v>
      </c>
      <c r="U41">
        <v>0.375</v>
      </c>
      <c r="V41">
        <f t="shared" si="0"/>
        <v>9.5250000000000004</v>
      </c>
      <c r="W41" t="str">
        <f t="shared" si="1"/>
        <v>0.375" (9.525 mm)</v>
      </c>
    </row>
    <row r="42" spans="1:28">
      <c r="A42">
        <v>40</v>
      </c>
      <c r="B42" s="1" t="s">
        <v>42</v>
      </c>
      <c r="C42" s="1" t="s">
        <v>42</v>
      </c>
      <c r="D42" s="1" t="s">
        <v>68</v>
      </c>
      <c r="E42" s="3" t="s">
        <v>69</v>
      </c>
      <c r="R42">
        <v>64</v>
      </c>
      <c r="S42">
        <v>0.375</v>
      </c>
      <c r="T42">
        <v>0.25</v>
      </c>
      <c r="U42">
        <v>0.375</v>
      </c>
      <c r="V42">
        <f t="shared" si="0"/>
        <v>9.5250000000000004</v>
      </c>
      <c r="W42" t="str">
        <f t="shared" si="1"/>
        <v>0.375" (9.525 mm)</v>
      </c>
    </row>
    <row r="43" spans="1:28">
      <c r="A43">
        <v>41</v>
      </c>
      <c r="B43" s="1" t="s">
        <v>42</v>
      </c>
      <c r="C43" s="1" t="s">
        <v>70</v>
      </c>
      <c r="D43" s="1" t="s">
        <v>71</v>
      </c>
      <c r="E43" s="3" t="s">
        <v>72</v>
      </c>
      <c r="R43">
        <v>65</v>
      </c>
      <c r="S43">
        <v>0.375</v>
      </c>
      <c r="T43">
        <v>0.25</v>
      </c>
      <c r="U43">
        <v>0.375</v>
      </c>
      <c r="V43">
        <f t="shared" si="0"/>
        <v>9.5250000000000004</v>
      </c>
      <c r="W43" t="str">
        <f t="shared" si="1"/>
        <v>0.375" (9.525 mm)</v>
      </c>
    </row>
    <row r="44" spans="1:28">
      <c r="A44">
        <v>42</v>
      </c>
      <c r="B44" s="1" t="s">
        <v>42</v>
      </c>
      <c r="C44" s="1" t="s">
        <v>42</v>
      </c>
      <c r="D44" s="1" t="s">
        <v>9</v>
      </c>
      <c r="E44" s="3" t="s">
        <v>73</v>
      </c>
      <c r="R44">
        <v>66</v>
      </c>
      <c r="S44">
        <v>0.375</v>
      </c>
      <c r="T44">
        <v>0.25</v>
      </c>
      <c r="U44">
        <v>0.375</v>
      </c>
      <c r="V44">
        <f t="shared" si="0"/>
        <v>9.5250000000000004</v>
      </c>
      <c r="W44" t="str">
        <f t="shared" si="1"/>
        <v>0.375" (9.525 mm)</v>
      </c>
    </row>
    <row r="45" spans="1:28">
      <c r="A45">
        <v>43</v>
      </c>
      <c r="B45" s="1" t="s">
        <v>42</v>
      </c>
      <c r="C45" s="1" t="s">
        <v>42</v>
      </c>
      <c r="D45" s="1" t="s">
        <v>74</v>
      </c>
      <c r="E45" s="3" t="s">
        <v>75</v>
      </c>
      <c r="R45">
        <v>67</v>
      </c>
      <c r="S45">
        <v>0.375</v>
      </c>
      <c r="T45">
        <v>0.25</v>
      </c>
      <c r="U45">
        <v>0.375</v>
      </c>
      <c r="V45">
        <f t="shared" si="0"/>
        <v>9.5250000000000004</v>
      </c>
      <c r="W45" t="str">
        <f t="shared" si="1"/>
        <v>0.375" (9.525 mm)</v>
      </c>
    </row>
    <row r="46" spans="1:28">
      <c r="A46">
        <v>44</v>
      </c>
      <c r="B46" s="1" t="s">
        <v>26</v>
      </c>
      <c r="C46" s="1" t="s">
        <v>27</v>
      </c>
      <c r="D46" s="1" t="s">
        <v>78</v>
      </c>
      <c r="E46" s="3" t="s">
        <v>79</v>
      </c>
      <c r="R46">
        <v>68</v>
      </c>
      <c r="S46">
        <v>0.375</v>
      </c>
      <c r="T46">
        <v>0.25</v>
      </c>
      <c r="U46">
        <v>0.375</v>
      </c>
      <c r="V46">
        <f t="shared" si="0"/>
        <v>9.5250000000000004</v>
      </c>
      <c r="W46" t="str">
        <f t="shared" si="1"/>
        <v>0.375" (9.525 mm)</v>
      </c>
    </row>
    <row r="47" spans="1:28">
      <c r="A47">
        <v>45</v>
      </c>
      <c r="B47" s="1" t="s">
        <v>26</v>
      </c>
      <c r="C47" s="1" t="s">
        <v>36</v>
      </c>
      <c r="D47" s="1" t="s">
        <v>78</v>
      </c>
      <c r="E47" s="3" t="s">
        <v>79</v>
      </c>
      <c r="R47">
        <v>69</v>
      </c>
      <c r="S47">
        <v>0.375</v>
      </c>
      <c r="T47">
        <v>0.25</v>
      </c>
      <c r="U47">
        <v>0.375</v>
      </c>
      <c r="V47">
        <f t="shared" si="0"/>
        <v>9.5250000000000004</v>
      </c>
      <c r="W47" t="str">
        <f t="shared" si="1"/>
        <v>0.375" (9.525 mm)</v>
      </c>
    </row>
    <row r="48" spans="1:28">
      <c r="A48">
        <v>46</v>
      </c>
      <c r="B48" s="1" t="s">
        <v>26</v>
      </c>
      <c r="C48" s="1" t="s">
        <v>27</v>
      </c>
      <c r="D48" s="1" t="s">
        <v>80</v>
      </c>
      <c r="E48" s="3" t="s">
        <v>81</v>
      </c>
      <c r="R48">
        <v>70</v>
      </c>
      <c r="S48">
        <v>0.375</v>
      </c>
      <c r="T48">
        <v>0.25</v>
      </c>
      <c r="U48">
        <v>0.375</v>
      </c>
      <c r="V48">
        <f t="shared" si="0"/>
        <v>9.5250000000000004</v>
      </c>
      <c r="W48" t="str">
        <f t="shared" si="1"/>
        <v>0.375" (9.525 mm)</v>
      </c>
    </row>
    <row r="49" spans="1:23">
      <c r="A49">
        <v>47</v>
      </c>
      <c r="B49" s="1" t="s">
        <v>26</v>
      </c>
      <c r="C49" s="1" t="s">
        <v>36</v>
      </c>
      <c r="D49" s="1" t="s">
        <v>80</v>
      </c>
      <c r="E49" s="3" t="s">
        <v>81</v>
      </c>
      <c r="R49">
        <v>71</v>
      </c>
      <c r="S49">
        <v>0.375</v>
      </c>
      <c r="T49">
        <v>0.25</v>
      </c>
      <c r="U49">
        <v>0.375</v>
      </c>
      <c r="V49">
        <f t="shared" si="0"/>
        <v>9.5250000000000004</v>
      </c>
      <c r="W49" t="str">
        <f t="shared" si="1"/>
        <v>0.375" (9.525 mm)</v>
      </c>
    </row>
    <row r="50" spans="1:23">
      <c r="A50">
        <v>48</v>
      </c>
      <c r="B50" s="1" t="s">
        <v>26</v>
      </c>
      <c r="C50" s="1" t="s">
        <v>27</v>
      </c>
      <c r="D50" s="1" t="s">
        <v>82</v>
      </c>
      <c r="E50" s="3" t="s">
        <v>84</v>
      </c>
      <c r="R50">
        <v>72</v>
      </c>
      <c r="S50">
        <v>0.375</v>
      </c>
      <c r="T50">
        <v>0.25</v>
      </c>
      <c r="U50">
        <v>0.375</v>
      </c>
      <c r="V50">
        <f t="shared" si="0"/>
        <v>9.5250000000000004</v>
      </c>
      <c r="W50" t="str">
        <f t="shared" si="1"/>
        <v>0.375" (9.525 mm)</v>
      </c>
    </row>
    <row r="51" spans="1:23">
      <c r="A51">
        <v>49</v>
      </c>
      <c r="B51" s="1" t="s">
        <v>26</v>
      </c>
      <c r="C51" s="1" t="s">
        <v>36</v>
      </c>
      <c r="D51" s="1" t="s">
        <v>82</v>
      </c>
      <c r="E51" s="3" t="s">
        <v>84</v>
      </c>
      <c r="R51">
        <v>73</v>
      </c>
      <c r="S51">
        <v>0.375</v>
      </c>
      <c r="T51">
        <v>0.25</v>
      </c>
      <c r="U51">
        <v>0.375</v>
      </c>
      <c r="V51">
        <f t="shared" si="0"/>
        <v>9.5250000000000004</v>
      </c>
      <c r="W51" t="str">
        <f t="shared" si="1"/>
        <v>0.375" (9.525 mm)</v>
      </c>
    </row>
    <row r="52" spans="1:23">
      <c r="A52">
        <v>50</v>
      </c>
      <c r="B52" s="1" t="s">
        <v>26</v>
      </c>
      <c r="C52" s="1" t="s">
        <v>27</v>
      </c>
      <c r="D52" s="1" t="s">
        <v>83</v>
      </c>
      <c r="E52" s="3" t="s">
        <v>85</v>
      </c>
      <c r="R52">
        <v>74</v>
      </c>
      <c r="S52">
        <v>0.375</v>
      </c>
      <c r="T52">
        <v>0.25</v>
      </c>
      <c r="U52">
        <v>0.375</v>
      </c>
      <c r="V52">
        <f t="shared" si="0"/>
        <v>9.5250000000000004</v>
      </c>
      <c r="W52" t="str">
        <f t="shared" si="1"/>
        <v>0.375" (9.525 mm)</v>
      </c>
    </row>
    <row r="53" spans="1:23">
      <c r="A53">
        <v>51</v>
      </c>
      <c r="B53" s="1" t="s">
        <v>26</v>
      </c>
      <c r="C53" s="1" t="s">
        <v>36</v>
      </c>
      <c r="D53" s="1" t="s">
        <v>83</v>
      </c>
      <c r="E53" s="3" t="s">
        <v>85</v>
      </c>
      <c r="R53">
        <v>75</v>
      </c>
      <c r="S53">
        <v>0.375</v>
      </c>
      <c r="T53">
        <v>0.25</v>
      </c>
      <c r="U53">
        <v>0.375</v>
      </c>
      <c r="V53">
        <f t="shared" si="0"/>
        <v>9.5250000000000004</v>
      </c>
      <c r="W53" t="str">
        <f t="shared" si="1"/>
        <v>0.375" (9.525 mm)</v>
      </c>
    </row>
    <row r="54" spans="1:23">
      <c r="A54">
        <v>52</v>
      </c>
      <c r="B54" s="1" t="s">
        <v>26</v>
      </c>
      <c r="C54" s="1" t="s">
        <v>27</v>
      </c>
      <c r="D54" s="1" t="s">
        <v>87</v>
      </c>
      <c r="E54" s="3" t="s">
        <v>86</v>
      </c>
      <c r="R54">
        <v>76</v>
      </c>
      <c r="S54">
        <v>0.375</v>
      </c>
      <c r="T54">
        <v>0.25</v>
      </c>
      <c r="U54">
        <v>0.375</v>
      </c>
      <c r="V54">
        <f t="shared" si="0"/>
        <v>9.5250000000000004</v>
      </c>
      <c r="W54" t="str">
        <f t="shared" si="1"/>
        <v>0.375" (9.525 mm)</v>
      </c>
    </row>
    <row r="55" spans="1:23">
      <c r="A55">
        <v>53</v>
      </c>
      <c r="B55" s="1" t="s">
        <v>26</v>
      </c>
      <c r="C55" s="1" t="s">
        <v>36</v>
      </c>
      <c r="D55" s="1" t="s">
        <v>87</v>
      </c>
      <c r="E55" s="3" t="s">
        <v>86</v>
      </c>
      <c r="R55">
        <v>77</v>
      </c>
      <c r="S55">
        <v>0.375</v>
      </c>
      <c r="T55">
        <v>0.25</v>
      </c>
      <c r="U55">
        <v>0.375</v>
      </c>
      <c r="V55">
        <f t="shared" si="0"/>
        <v>9.5250000000000004</v>
      </c>
      <c r="W55" t="str">
        <f t="shared" si="1"/>
        <v>0.375" (9.525 mm)</v>
      </c>
    </row>
    <row r="56" spans="1:23">
      <c r="A56">
        <v>54</v>
      </c>
      <c r="B56" s="1" t="s">
        <v>26</v>
      </c>
      <c r="C56" s="1" t="s">
        <v>27</v>
      </c>
      <c r="D56" s="1" t="s">
        <v>88</v>
      </c>
      <c r="E56" s="3" t="s">
        <v>89</v>
      </c>
      <c r="R56">
        <v>78</v>
      </c>
      <c r="S56">
        <v>0.375</v>
      </c>
      <c r="T56">
        <v>0.25</v>
      </c>
      <c r="U56">
        <v>0.375</v>
      </c>
      <c r="V56">
        <f t="shared" si="0"/>
        <v>9.5250000000000004</v>
      </c>
      <c r="W56" t="str">
        <f t="shared" si="1"/>
        <v>0.375" (9.525 mm)</v>
      </c>
    </row>
    <row r="57" spans="1:23">
      <c r="A57">
        <v>55</v>
      </c>
      <c r="B57" s="1" t="s">
        <v>26</v>
      </c>
      <c r="C57" s="1" t="s">
        <v>36</v>
      </c>
      <c r="D57" s="1" t="s">
        <v>88</v>
      </c>
      <c r="E57" s="3" t="s">
        <v>89</v>
      </c>
      <c r="R57">
        <v>79</v>
      </c>
      <c r="S57">
        <v>0.375</v>
      </c>
      <c r="T57">
        <v>0.25</v>
      </c>
      <c r="U57">
        <v>0.375</v>
      </c>
      <c r="V57">
        <f t="shared" si="0"/>
        <v>9.5250000000000004</v>
      </c>
      <c r="W57" t="str">
        <f t="shared" si="1"/>
        <v>0.375" (9.525 mm)</v>
      </c>
    </row>
    <row r="58" spans="1:23">
      <c r="A58">
        <v>56</v>
      </c>
      <c r="B58" s="1" t="s">
        <v>26</v>
      </c>
      <c r="C58" s="1" t="s">
        <v>27</v>
      </c>
      <c r="D58" s="1" t="s">
        <v>90</v>
      </c>
      <c r="E58" s="3" t="s">
        <v>97</v>
      </c>
      <c r="R58">
        <v>80</v>
      </c>
      <c r="S58">
        <v>0.375</v>
      </c>
      <c r="T58">
        <v>0.25</v>
      </c>
      <c r="U58">
        <v>0.375</v>
      </c>
      <c r="V58">
        <f t="shared" si="0"/>
        <v>9.5250000000000004</v>
      </c>
      <c r="W58" t="str">
        <f t="shared" si="1"/>
        <v>0.375" (9.525 mm)</v>
      </c>
    </row>
    <row r="59" spans="1:23">
      <c r="A59">
        <v>57</v>
      </c>
      <c r="B59" s="1" t="s">
        <v>26</v>
      </c>
      <c r="C59" s="1" t="s">
        <v>36</v>
      </c>
      <c r="D59" s="1" t="s">
        <v>90</v>
      </c>
      <c r="E59" s="3" t="s">
        <v>97</v>
      </c>
      <c r="R59">
        <v>81</v>
      </c>
      <c r="S59">
        <v>0.375</v>
      </c>
      <c r="T59">
        <v>0.25</v>
      </c>
      <c r="U59">
        <v>0.375</v>
      </c>
      <c r="V59">
        <f t="shared" si="0"/>
        <v>9.5250000000000004</v>
      </c>
      <c r="W59" t="str">
        <f t="shared" si="1"/>
        <v>0.375" (9.525 mm)</v>
      </c>
    </row>
    <row r="60" spans="1:23">
      <c r="A60">
        <v>58</v>
      </c>
      <c r="B60" s="1" t="s">
        <v>26</v>
      </c>
      <c r="C60" s="1" t="s">
        <v>27</v>
      </c>
      <c r="D60" s="1" t="s">
        <v>91</v>
      </c>
      <c r="E60" s="3" t="s">
        <v>98</v>
      </c>
      <c r="R60">
        <v>82</v>
      </c>
      <c r="S60">
        <v>0.375</v>
      </c>
      <c r="T60">
        <v>0.25</v>
      </c>
      <c r="U60">
        <v>0.375</v>
      </c>
      <c r="V60">
        <f t="shared" si="0"/>
        <v>9.5250000000000004</v>
      </c>
      <c r="W60" t="str">
        <f t="shared" si="1"/>
        <v>0.375" (9.525 mm)</v>
      </c>
    </row>
    <row r="61" spans="1:23">
      <c r="A61">
        <v>59</v>
      </c>
      <c r="B61" s="1" t="s">
        <v>26</v>
      </c>
      <c r="C61" s="1" t="s">
        <v>36</v>
      </c>
      <c r="D61" s="1" t="s">
        <v>91</v>
      </c>
      <c r="E61" s="3" t="s">
        <v>98</v>
      </c>
      <c r="R61">
        <v>83</v>
      </c>
      <c r="S61">
        <v>0.375</v>
      </c>
      <c r="T61">
        <v>0.25</v>
      </c>
      <c r="U61">
        <v>0.375</v>
      </c>
      <c r="V61">
        <f t="shared" si="0"/>
        <v>9.5250000000000004</v>
      </c>
      <c r="W61" t="str">
        <f t="shared" si="1"/>
        <v>0.375" (9.525 mm)</v>
      </c>
    </row>
    <row r="62" spans="1:23">
      <c r="A62">
        <v>60</v>
      </c>
      <c r="B62" s="1" t="s">
        <v>26</v>
      </c>
      <c r="C62" s="1" t="s">
        <v>27</v>
      </c>
      <c r="D62" s="1" t="s">
        <v>92</v>
      </c>
      <c r="E62" s="3" t="s">
        <v>99</v>
      </c>
      <c r="R62">
        <v>84</v>
      </c>
      <c r="S62">
        <v>0.375</v>
      </c>
      <c r="T62">
        <v>0.25</v>
      </c>
      <c r="U62">
        <v>0.375</v>
      </c>
      <c r="V62">
        <f t="shared" si="0"/>
        <v>9.5250000000000004</v>
      </c>
      <c r="W62" t="str">
        <f t="shared" si="1"/>
        <v>0.375" (9.525 mm)</v>
      </c>
    </row>
    <row r="63" spans="1:23">
      <c r="A63">
        <v>61</v>
      </c>
      <c r="B63" s="1" t="s">
        <v>26</v>
      </c>
      <c r="C63" s="1" t="s">
        <v>36</v>
      </c>
      <c r="D63" s="1" t="s">
        <v>92</v>
      </c>
      <c r="E63" s="3" t="s">
        <v>99</v>
      </c>
      <c r="R63">
        <v>85</v>
      </c>
      <c r="S63">
        <v>0.375</v>
      </c>
      <c r="T63">
        <v>0.25</v>
      </c>
      <c r="U63">
        <v>0.375</v>
      </c>
      <c r="V63">
        <f t="shared" si="0"/>
        <v>9.5250000000000004</v>
      </c>
      <c r="W63" t="str">
        <f t="shared" si="1"/>
        <v>0.375" (9.525 mm)</v>
      </c>
    </row>
    <row r="64" spans="1:23">
      <c r="A64">
        <v>62</v>
      </c>
      <c r="B64" s="1" t="s">
        <v>26</v>
      </c>
      <c r="C64" s="1" t="s">
        <v>27</v>
      </c>
      <c r="D64" s="1" t="s">
        <v>93</v>
      </c>
      <c r="E64" s="4" t="s">
        <v>100</v>
      </c>
      <c r="R64">
        <v>86</v>
      </c>
      <c r="S64">
        <v>0.375</v>
      </c>
      <c r="T64">
        <v>0.25</v>
      </c>
      <c r="U64">
        <v>0.375</v>
      </c>
      <c r="V64">
        <f t="shared" si="0"/>
        <v>9.5250000000000004</v>
      </c>
      <c r="W64" t="str">
        <f t="shared" si="1"/>
        <v>0.375" (9.525 mm)</v>
      </c>
    </row>
    <row r="65" spans="1:23">
      <c r="A65">
        <v>63</v>
      </c>
      <c r="B65" s="1" t="s">
        <v>26</v>
      </c>
      <c r="C65" s="1" t="s">
        <v>36</v>
      </c>
      <c r="D65" s="1" t="s">
        <v>93</v>
      </c>
      <c r="E65" s="4" t="s">
        <v>100</v>
      </c>
      <c r="R65">
        <v>87</v>
      </c>
      <c r="S65">
        <v>0.375</v>
      </c>
      <c r="T65">
        <v>0.25</v>
      </c>
      <c r="U65">
        <v>0.375</v>
      </c>
      <c r="V65">
        <f t="shared" si="0"/>
        <v>9.5250000000000004</v>
      </c>
      <c r="W65" t="str">
        <f t="shared" si="1"/>
        <v>0.375" (9.525 mm)</v>
      </c>
    </row>
    <row r="66" spans="1:23">
      <c r="A66">
        <v>64</v>
      </c>
      <c r="B66" s="1" t="s">
        <v>17</v>
      </c>
      <c r="C66" s="1" t="s">
        <v>22</v>
      </c>
      <c r="D66" s="1" t="s">
        <v>94</v>
      </c>
      <c r="E66" s="3" t="s">
        <v>101</v>
      </c>
      <c r="R66">
        <v>88</v>
      </c>
      <c r="S66">
        <v>0.375</v>
      </c>
      <c r="T66">
        <v>0.25</v>
      </c>
      <c r="U66">
        <v>0.375</v>
      </c>
      <c r="V66">
        <f t="shared" ref="V66:V129" si="3">ROUND(S66*mm, 5)</f>
        <v>9.5250000000000004</v>
      </c>
      <c r="W66" t="str">
        <f t="shared" si="1"/>
        <v>0.375" (9.525 mm)</v>
      </c>
    </row>
    <row r="67" spans="1:23">
      <c r="A67">
        <v>65</v>
      </c>
      <c r="B67" s="1" t="s">
        <v>17</v>
      </c>
      <c r="C67" s="1" t="s">
        <v>22</v>
      </c>
      <c r="D67" s="1" t="s">
        <v>95</v>
      </c>
      <c r="E67" s="3" t="s">
        <v>102</v>
      </c>
      <c r="R67">
        <v>89</v>
      </c>
      <c r="S67">
        <v>0.375</v>
      </c>
      <c r="T67">
        <v>0.25</v>
      </c>
      <c r="U67">
        <v>0.375</v>
      </c>
      <c r="V67">
        <f t="shared" si="3"/>
        <v>9.5250000000000004</v>
      </c>
      <c r="W67" t="str">
        <f t="shared" ref="W67:W130" si="4">S67&amp;""""&amp;" ("&amp;V67&amp;" mm)"</f>
        <v>0.375" (9.525 mm)</v>
      </c>
    </row>
    <row r="68" spans="1:23">
      <c r="A68">
        <v>66</v>
      </c>
      <c r="B68" s="1" t="s">
        <v>17</v>
      </c>
      <c r="C68" s="1" t="s">
        <v>22</v>
      </c>
      <c r="D68" s="1" t="s">
        <v>96</v>
      </c>
      <c r="E68" s="3" t="s">
        <v>103</v>
      </c>
      <c r="R68">
        <v>90</v>
      </c>
      <c r="S68">
        <v>0.375</v>
      </c>
      <c r="T68">
        <v>0.25</v>
      </c>
      <c r="U68">
        <v>0.375</v>
      </c>
      <c r="V68">
        <f t="shared" si="3"/>
        <v>9.5250000000000004</v>
      </c>
      <c r="W68" t="str">
        <f t="shared" si="4"/>
        <v>0.375" (9.525 mm)</v>
      </c>
    </row>
    <row r="69" spans="1:23">
      <c r="A69">
        <v>67</v>
      </c>
      <c r="B69" s="1" t="s">
        <v>26</v>
      </c>
      <c r="C69" s="1" t="s">
        <v>36</v>
      </c>
      <c r="D69" s="1" t="s">
        <v>109</v>
      </c>
      <c r="E69" s="3" t="s">
        <v>110</v>
      </c>
      <c r="R69">
        <v>91</v>
      </c>
      <c r="S69">
        <v>0.375</v>
      </c>
      <c r="T69">
        <v>0.25</v>
      </c>
      <c r="U69">
        <v>0.375</v>
      </c>
      <c r="V69">
        <f t="shared" si="3"/>
        <v>9.5250000000000004</v>
      </c>
      <c r="W69" t="str">
        <f t="shared" si="4"/>
        <v>0.375" (9.525 mm)</v>
      </c>
    </row>
    <row r="70" spans="1:23">
      <c r="A70">
        <v>68</v>
      </c>
      <c r="B70" s="1" t="s">
        <v>26</v>
      </c>
      <c r="C70" s="1" t="s">
        <v>36</v>
      </c>
      <c r="D70" s="1" t="s">
        <v>108</v>
      </c>
      <c r="E70" s="3" t="s">
        <v>111</v>
      </c>
      <c r="R70">
        <v>92</v>
      </c>
      <c r="S70">
        <v>0.375</v>
      </c>
      <c r="T70">
        <v>0.25</v>
      </c>
      <c r="U70">
        <v>0.375</v>
      </c>
      <c r="V70">
        <f t="shared" si="3"/>
        <v>9.5250000000000004</v>
      </c>
      <c r="W70" t="str">
        <f t="shared" si="4"/>
        <v>0.375" (9.525 mm)</v>
      </c>
    </row>
    <row r="71" spans="1:23">
      <c r="A71">
        <v>69</v>
      </c>
      <c r="B71" s="1" t="s">
        <v>26</v>
      </c>
      <c r="C71" s="1" t="s">
        <v>27</v>
      </c>
      <c r="D71" s="1" t="s">
        <v>109</v>
      </c>
      <c r="E71" s="3" t="s">
        <v>110</v>
      </c>
      <c r="R71">
        <v>93</v>
      </c>
      <c r="S71">
        <v>0.375</v>
      </c>
      <c r="T71">
        <v>0.25</v>
      </c>
      <c r="U71">
        <v>0.375</v>
      </c>
      <c r="V71">
        <f t="shared" si="3"/>
        <v>9.5250000000000004</v>
      </c>
      <c r="W71" t="str">
        <f t="shared" si="4"/>
        <v>0.375" (9.525 mm)</v>
      </c>
    </row>
    <row r="72" spans="1:23">
      <c r="A72">
        <v>70</v>
      </c>
      <c r="B72" s="1" t="s">
        <v>26</v>
      </c>
      <c r="C72" s="1" t="s">
        <v>27</v>
      </c>
      <c r="D72" s="1" t="s">
        <v>108</v>
      </c>
      <c r="E72" s="3" t="s">
        <v>111</v>
      </c>
      <c r="R72">
        <v>94</v>
      </c>
      <c r="S72">
        <v>0.375</v>
      </c>
      <c r="T72">
        <v>0.25</v>
      </c>
      <c r="U72">
        <v>0.375</v>
      </c>
      <c r="V72">
        <f t="shared" si="3"/>
        <v>9.5250000000000004</v>
      </c>
      <c r="W72" t="str">
        <f t="shared" si="4"/>
        <v>0.375" (9.525 mm)</v>
      </c>
    </row>
    <row r="73" spans="1:23">
      <c r="R73">
        <v>95</v>
      </c>
      <c r="S73">
        <v>0.375</v>
      </c>
      <c r="T73">
        <v>0.25</v>
      </c>
      <c r="U73">
        <v>0.375</v>
      </c>
      <c r="V73">
        <f t="shared" si="3"/>
        <v>9.5250000000000004</v>
      </c>
      <c r="W73" t="str">
        <f t="shared" si="4"/>
        <v>0.375" (9.525 mm)</v>
      </c>
    </row>
    <row r="74" spans="1:23">
      <c r="R74">
        <v>96</v>
      </c>
      <c r="S74">
        <v>0.375</v>
      </c>
      <c r="T74">
        <v>0.25</v>
      </c>
      <c r="U74">
        <v>0.375</v>
      </c>
      <c r="V74">
        <f t="shared" si="3"/>
        <v>9.5250000000000004</v>
      </c>
      <c r="W74" t="str">
        <f t="shared" si="4"/>
        <v>0.375" (9.525 mm)</v>
      </c>
    </row>
    <row r="75" spans="1:23">
      <c r="R75">
        <v>97</v>
      </c>
      <c r="S75">
        <v>0.375</v>
      </c>
      <c r="T75">
        <v>0.25</v>
      </c>
      <c r="U75">
        <v>0.375</v>
      </c>
      <c r="V75">
        <f t="shared" si="3"/>
        <v>9.5250000000000004</v>
      </c>
      <c r="W75" t="str">
        <f t="shared" si="4"/>
        <v>0.375" (9.525 mm)</v>
      </c>
    </row>
    <row r="76" spans="1:23">
      <c r="R76">
        <v>98</v>
      </c>
      <c r="S76">
        <v>0.375</v>
      </c>
      <c r="T76">
        <v>0.25</v>
      </c>
      <c r="U76">
        <v>0.375</v>
      </c>
      <c r="V76">
        <f t="shared" si="3"/>
        <v>9.5250000000000004</v>
      </c>
      <c r="W76" t="str">
        <f t="shared" si="4"/>
        <v>0.375" (9.525 mm)</v>
      </c>
    </row>
    <row r="77" spans="1:23">
      <c r="R77">
        <v>99</v>
      </c>
      <c r="S77">
        <v>0.375</v>
      </c>
      <c r="T77">
        <v>0.25</v>
      </c>
      <c r="U77">
        <v>0.375</v>
      </c>
      <c r="V77">
        <f t="shared" si="3"/>
        <v>9.5250000000000004</v>
      </c>
      <c r="W77" t="str">
        <f t="shared" si="4"/>
        <v>0.375" (9.525 mm)</v>
      </c>
    </row>
    <row r="78" spans="1:23">
      <c r="R78">
        <v>100</v>
      </c>
      <c r="S78">
        <v>0.375</v>
      </c>
      <c r="T78">
        <v>0.25</v>
      </c>
      <c r="U78">
        <v>0.375</v>
      </c>
      <c r="V78">
        <f t="shared" si="3"/>
        <v>9.5250000000000004</v>
      </c>
      <c r="W78" t="str">
        <f t="shared" si="4"/>
        <v>0.375" (9.525 mm)</v>
      </c>
    </row>
    <row r="79" spans="1:23">
      <c r="R79">
        <v>101</v>
      </c>
      <c r="S79">
        <v>0.375</v>
      </c>
      <c r="T79">
        <v>0.25</v>
      </c>
      <c r="U79">
        <v>0.375</v>
      </c>
      <c r="V79">
        <f t="shared" si="3"/>
        <v>9.5250000000000004</v>
      </c>
      <c r="W79" t="str">
        <f t="shared" si="4"/>
        <v>0.375" (9.525 mm)</v>
      </c>
    </row>
    <row r="80" spans="1:23">
      <c r="R80">
        <v>102</v>
      </c>
      <c r="S80">
        <v>0.375</v>
      </c>
      <c r="T80">
        <v>0.25</v>
      </c>
      <c r="U80">
        <v>0.375</v>
      </c>
      <c r="V80">
        <f t="shared" si="3"/>
        <v>9.5250000000000004</v>
      </c>
      <c r="W80" t="str">
        <f t="shared" si="4"/>
        <v>0.375" (9.525 mm)</v>
      </c>
    </row>
    <row r="81" spans="18:23">
      <c r="R81">
        <v>103</v>
      </c>
      <c r="S81">
        <v>0.375</v>
      </c>
      <c r="T81">
        <v>0.25</v>
      </c>
      <c r="U81">
        <v>0.375</v>
      </c>
      <c r="V81">
        <f t="shared" si="3"/>
        <v>9.5250000000000004</v>
      </c>
      <c r="W81" t="str">
        <f t="shared" si="4"/>
        <v>0.375" (9.525 mm)</v>
      </c>
    </row>
    <row r="82" spans="18:23">
      <c r="R82">
        <v>104</v>
      </c>
      <c r="S82">
        <v>0.375</v>
      </c>
      <c r="T82">
        <v>0.25</v>
      </c>
      <c r="U82">
        <v>0.375</v>
      </c>
      <c r="V82">
        <f t="shared" si="3"/>
        <v>9.5250000000000004</v>
      </c>
      <c r="W82" t="str">
        <f t="shared" si="4"/>
        <v>0.375" (9.525 mm)</v>
      </c>
    </row>
    <row r="83" spans="18:23">
      <c r="R83">
        <v>105</v>
      </c>
      <c r="S83">
        <v>0.375</v>
      </c>
      <c r="T83">
        <v>0.25</v>
      </c>
      <c r="U83">
        <v>0.375</v>
      </c>
      <c r="V83">
        <f t="shared" si="3"/>
        <v>9.5250000000000004</v>
      </c>
      <c r="W83" t="str">
        <f t="shared" si="4"/>
        <v>0.375" (9.525 mm)</v>
      </c>
    </row>
    <row r="84" spans="18:23">
      <c r="R84">
        <v>106</v>
      </c>
      <c r="S84">
        <v>0.375</v>
      </c>
      <c r="T84">
        <v>0.25</v>
      </c>
      <c r="U84">
        <v>0.375</v>
      </c>
      <c r="V84">
        <f t="shared" si="3"/>
        <v>9.5250000000000004</v>
      </c>
      <c r="W84" t="str">
        <f t="shared" si="4"/>
        <v>0.375" (9.525 mm)</v>
      </c>
    </row>
    <row r="85" spans="18:23">
      <c r="R85">
        <v>107</v>
      </c>
      <c r="S85">
        <v>0.375</v>
      </c>
      <c r="T85">
        <v>0.25</v>
      </c>
      <c r="U85">
        <v>0.375</v>
      </c>
      <c r="V85">
        <f t="shared" si="3"/>
        <v>9.5250000000000004</v>
      </c>
      <c r="W85" t="str">
        <f t="shared" si="4"/>
        <v>0.375" (9.525 mm)</v>
      </c>
    </row>
    <row r="86" spans="18:23">
      <c r="R86">
        <v>108</v>
      </c>
      <c r="S86">
        <v>0.375</v>
      </c>
      <c r="T86">
        <v>0.25</v>
      </c>
      <c r="U86">
        <v>0.375</v>
      </c>
      <c r="V86">
        <f t="shared" si="3"/>
        <v>9.5250000000000004</v>
      </c>
      <c r="W86" t="str">
        <f t="shared" si="4"/>
        <v>0.375" (9.525 mm)</v>
      </c>
    </row>
    <row r="87" spans="18:23">
      <c r="R87">
        <v>109</v>
      </c>
      <c r="S87">
        <v>0.375</v>
      </c>
      <c r="T87">
        <v>0.25</v>
      </c>
      <c r="U87">
        <v>0.375</v>
      </c>
      <c r="V87">
        <f t="shared" si="3"/>
        <v>9.5250000000000004</v>
      </c>
      <c r="W87" t="str">
        <f t="shared" si="4"/>
        <v>0.375" (9.525 mm)</v>
      </c>
    </row>
    <row r="88" spans="18:23">
      <c r="R88">
        <v>110</v>
      </c>
      <c r="S88">
        <v>0.375</v>
      </c>
      <c r="T88">
        <v>0.25</v>
      </c>
      <c r="U88">
        <v>0.375</v>
      </c>
      <c r="V88">
        <f t="shared" si="3"/>
        <v>9.5250000000000004</v>
      </c>
      <c r="W88" t="str">
        <f t="shared" si="4"/>
        <v>0.375" (9.525 mm)</v>
      </c>
    </row>
    <row r="89" spans="18:23">
      <c r="R89">
        <v>111</v>
      </c>
      <c r="S89">
        <v>0.375</v>
      </c>
      <c r="T89">
        <v>0.25</v>
      </c>
      <c r="U89">
        <v>0.375</v>
      </c>
      <c r="V89">
        <f t="shared" si="3"/>
        <v>9.5250000000000004</v>
      </c>
      <c r="W89" t="str">
        <f t="shared" si="4"/>
        <v>0.375" (9.525 mm)</v>
      </c>
    </row>
    <row r="90" spans="18:23">
      <c r="R90">
        <v>112</v>
      </c>
      <c r="S90">
        <v>0.375</v>
      </c>
      <c r="T90">
        <v>0.25</v>
      </c>
      <c r="U90">
        <v>0.375</v>
      </c>
      <c r="V90">
        <f t="shared" si="3"/>
        <v>9.5250000000000004</v>
      </c>
      <c r="W90" t="str">
        <f t="shared" si="4"/>
        <v>0.375" (9.525 mm)</v>
      </c>
    </row>
    <row r="91" spans="18:23">
      <c r="R91">
        <v>113</v>
      </c>
      <c r="S91">
        <v>0.375</v>
      </c>
      <c r="T91">
        <v>0.25</v>
      </c>
      <c r="U91">
        <v>0.375</v>
      </c>
      <c r="V91">
        <f t="shared" si="3"/>
        <v>9.5250000000000004</v>
      </c>
      <c r="W91" t="str">
        <f t="shared" si="4"/>
        <v>0.375" (9.525 mm)</v>
      </c>
    </row>
    <row r="92" spans="18:23">
      <c r="R92">
        <v>114</v>
      </c>
      <c r="S92">
        <v>0.375</v>
      </c>
      <c r="T92">
        <v>0.25</v>
      </c>
      <c r="U92">
        <v>0.375</v>
      </c>
      <c r="V92">
        <f t="shared" si="3"/>
        <v>9.5250000000000004</v>
      </c>
      <c r="W92" t="str">
        <f t="shared" si="4"/>
        <v>0.375" (9.525 mm)</v>
      </c>
    </row>
    <row r="93" spans="18:23">
      <c r="R93">
        <v>115</v>
      </c>
      <c r="S93">
        <v>0.375</v>
      </c>
      <c r="T93">
        <v>0.25</v>
      </c>
      <c r="U93">
        <v>0.375</v>
      </c>
      <c r="V93">
        <f t="shared" si="3"/>
        <v>9.5250000000000004</v>
      </c>
      <c r="W93" t="str">
        <f t="shared" si="4"/>
        <v>0.375" (9.525 mm)</v>
      </c>
    </row>
    <row r="94" spans="18:23">
      <c r="R94">
        <v>116</v>
      </c>
      <c r="S94">
        <v>0.375</v>
      </c>
      <c r="T94">
        <v>0.25</v>
      </c>
      <c r="U94">
        <v>0.375</v>
      </c>
      <c r="V94">
        <f t="shared" si="3"/>
        <v>9.5250000000000004</v>
      </c>
      <c r="W94" t="str">
        <f t="shared" si="4"/>
        <v>0.375" (9.525 mm)</v>
      </c>
    </row>
    <row r="95" spans="18:23">
      <c r="R95">
        <v>117</v>
      </c>
      <c r="S95">
        <v>0.375</v>
      </c>
      <c r="T95">
        <v>0.25</v>
      </c>
      <c r="U95">
        <v>0.375</v>
      </c>
      <c r="V95">
        <f t="shared" si="3"/>
        <v>9.5250000000000004</v>
      </c>
      <c r="W95" t="str">
        <f t="shared" si="4"/>
        <v>0.375" (9.525 mm)</v>
      </c>
    </row>
    <row r="96" spans="18:23">
      <c r="R96">
        <v>118</v>
      </c>
      <c r="S96">
        <v>0.375</v>
      </c>
      <c r="T96">
        <v>0.25</v>
      </c>
      <c r="U96">
        <v>0.375</v>
      </c>
      <c r="V96">
        <f t="shared" si="3"/>
        <v>9.5250000000000004</v>
      </c>
      <c r="W96" t="str">
        <f t="shared" si="4"/>
        <v>0.375" (9.525 mm)</v>
      </c>
    </row>
    <row r="97" spans="18:23">
      <c r="R97">
        <v>119</v>
      </c>
      <c r="S97">
        <v>0.375</v>
      </c>
      <c r="T97">
        <v>0.25</v>
      </c>
      <c r="U97">
        <v>0.375</v>
      </c>
      <c r="V97">
        <f t="shared" si="3"/>
        <v>9.5250000000000004</v>
      </c>
      <c r="W97" t="str">
        <f t="shared" si="4"/>
        <v>0.375" (9.525 mm)</v>
      </c>
    </row>
    <row r="98" spans="18:23">
      <c r="R98">
        <v>120</v>
      </c>
      <c r="S98">
        <v>0.375</v>
      </c>
      <c r="T98">
        <v>0.25</v>
      </c>
      <c r="U98">
        <v>0.375</v>
      </c>
      <c r="V98">
        <f t="shared" si="3"/>
        <v>9.5250000000000004</v>
      </c>
      <c r="W98" t="str">
        <f t="shared" si="4"/>
        <v>0.375" (9.525 mm)</v>
      </c>
    </row>
    <row r="99" spans="18:23">
      <c r="R99">
        <v>121</v>
      </c>
      <c r="S99">
        <v>0.375</v>
      </c>
      <c r="T99">
        <v>0.25</v>
      </c>
      <c r="U99">
        <v>0.375</v>
      </c>
      <c r="V99">
        <f t="shared" si="3"/>
        <v>9.5250000000000004</v>
      </c>
      <c r="W99" t="str">
        <f t="shared" si="4"/>
        <v>0.375" (9.525 mm)</v>
      </c>
    </row>
    <row r="100" spans="18:23">
      <c r="R100">
        <v>122</v>
      </c>
      <c r="S100">
        <v>0.375</v>
      </c>
      <c r="T100">
        <v>0.25</v>
      </c>
      <c r="U100">
        <v>0.375</v>
      </c>
      <c r="V100">
        <f t="shared" si="3"/>
        <v>9.5250000000000004</v>
      </c>
      <c r="W100" t="str">
        <f t="shared" si="4"/>
        <v>0.375" (9.525 mm)</v>
      </c>
    </row>
    <row r="101" spans="18:23">
      <c r="R101">
        <v>123</v>
      </c>
      <c r="S101">
        <v>0.375</v>
      </c>
      <c r="T101">
        <v>0.25</v>
      </c>
      <c r="U101">
        <v>0.375</v>
      </c>
      <c r="V101">
        <f t="shared" si="3"/>
        <v>9.5250000000000004</v>
      </c>
      <c r="W101" t="str">
        <f t="shared" si="4"/>
        <v>0.375" (9.525 mm)</v>
      </c>
    </row>
    <row r="102" spans="18:23">
      <c r="R102">
        <v>124</v>
      </c>
      <c r="S102">
        <v>0.375</v>
      </c>
      <c r="T102">
        <v>0.25</v>
      </c>
      <c r="U102">
        <v>0.375</v>
      </c>
      <c r="V102">
        <f t="shared" si="3"/>
        <v>9.5250000000000004</v>
      </c>
      <c r="W102" t="str">
        <f t="shared" si="4"/>
        <v>0.375" (9.525 mm)</v>
      </c>
    </row>
    <row r="103" spans="18:23">
      <c r="R103">
        <v>125</v>
      </c>
      <c r="S103">
        <v>0.375</v>
      </c>
      <c r="T103">
        <v>0.25</v>
      </c>
      <c r="U103">
        <v>0.375</v>
      </c>
      <c r="V103">
        <f t="shared" si="3"/>
        <v>9.5250000000000004</v>
      </c>
      <c r="W103" t="str">
        <f t="shared" si="4"/>
        <v>0.375" (9.525 mm)</v>
      </c>
    </row>
    <row r="104" spans="18:23">
      <c r="R104">
        <v>126</v>
      </c>
      <c r="S104">
        <v>0.375</v>
      </c>
      <c r="T104">
        <v>0.25</v>
      </c>
      <c r="U104">
        <v>0.375</v>
      </c>
      <c r="V104">
        <f t="shared" si="3"/>
        <v>9.5250000000000004</v>
      </c>
      <c r="W104" t="str">
        <f t="shared" si="4"/>
        <v>0.375" (9.525 mm)</v>
      </c>
    </row>
    <row r="105" spans="18:23">
      <c r="R105">
        <v>127</v>
      </c>
      <c r="S105">
        <v>0.375</v>
      </c>
      <c r="T105">
        <v>0.25</v>
      </c>
      <c r="U105">
        <v>0.375</v>
      </c>
      <c r="V105">
        <f t="shared" si="3"/>
        <v>9.5250000000000004</v>
      </c>
      <c r="W105" t="str">
        <f t="shared" si="4"/>
        <v>0.375" (9.525 mm)</v>
      </c>
    </row>
    <row r="106" spans="18:23">
      <c r="R106">
        <v>128</v>
      </c>
      <c r="S106">
        <v>0.375</v>
      </c>
      <c r="T106">
        <v>0.25</v>
      </c>
      <c r="U106">
        <v>0.375</v>
      </c>
      <c r="V106">
        <f t="shared" si="3"/>
        <v>9.5250000000000004</v>
      </c>
      <c r="W106" t="str">
        <f t="shared" si="4"/>
        <v>0.375" (9.525 mm)</v>
      </c>
    </row>
    <row r="107" spans="18:23">
      <c r="R107">
        <v>129</v>
      </c>
      <c r="S107">
        <v>0.375</v>
      </c>
      <c r="T107">
        <v>0.25</v>
      </c>
      <c r="U107">
        <v>0.375</v>
      </c>
      <c r="V107">
        <f t="shared" si="3"/>
        <v>9.5250000000000004</v>
      </c>
      <c r="W107" t="str">
        <f t="shared" si="4"/>
        <v>0.375" (9.525 mm)</v>
      </c>
    </row>
    <row r="108" spans="18:23">
      <c r="R108">
        <v>130</v>
      </c>
      <c r="S108">
        <v>0.375</v>
      </c>
      <c r="T108">
        <v>0.25</v>
      </c>
      <c r="U108">
        <v>0.375</v>
      </c>
      <c r="V108">
        <f t="shared" si="3"/>
        <v>9.5250000000000004</v>
      </c>
      <c r="W108" t="str">
        <f t="shared" si="4"/>
        <v>0.375" (9.525 mm)</v>
      </c>
    </row>
    <row r="109" spans="18:23">
      <c r="R109">
        <v>131</v>
      </c>
      <c r="S109">
        <v>0.375</v>
      </c>
      <c r="T109">
        <v>0.25</v>
      </c>
      <c r="U109">
        <v>0.375</v>
      </c>
      <c r="V109">
        <f t="shared" si="3"/>
        <v>9.5250000000000004</v>
      </c>
      <c r="W109" t="str">
        <f t="shared" si="4"/>
        <v>0.375" (9.525 mm)</v>
      </c>
    </row>
    <row r="110" spans="18:23">
      <c r="R110">
        <v>132</v>
      </c>
      <c r="S110">
        <v>0.375</v>
      </c>
      <c r="T110">
        <v>0.25</v>
      </c>
      <c r="U110">
        <v>0.375</v>
      </c>
      <c r="V110">
        <f t="shared" si="3"/>
        <v>9.5250000000000004</v>
      </c>
      <c r="W110" t="str">
        <f t="shared" si="4"/>
        <v>0.375" (9.525 mm)</v>
      </c>
    </row>
    <row r="111" spans="18:23">
      <c r="R111">
        <v>133</v>
      </c>
      <c r="S111">
        <v>0.375</v>
      </c>
      <c r="T111">
        <v>0.25</v>
      </c>
      <c r="U111">
        <v>0.375</v>
      </c>
      <c r="V111">
        <f t="shared" si="3"/>
        <v>9.5250000000000004</v>
      </c>
      <c r="W111" t="str">
        <f t="shared" si="4"/>
        <v>0.375" (9.525 mm)</v>
      </c>
    </row>
    <row r="112" spans="18:23">
      <c r="R112">
        <v>134</v>
      </c>
      <c r="S112">
        <v>0.375</v>
      </c>
      <c r="T112">
        <v>0.25</v>
      </c>
      <c r="U112">
        <v>0.375</v>
      </c>
      <c r="V112">
        <f t="shared" si="3"/>
        <v>9.5250000000000004</v>
      </c>
      <c r="W112" t="str">
        <f t="shared" si="4"/>
        <v>0.375" (9.525 mm)</v>
      </c>
    </row>
    <row r="113" spans="18:23">
      <c r="R113">
        <v>135</v>
      </c>
      <c r="S113">
        <v>0.375</v>
      </c>
      <c r="T113">
        <v>0.25</v>
      </c>
      <c r="U113">
        <v>0.375</v>
      </c>
      <c r="V113">
        <f t="shared" si="3"/>
        <v>9.5250000000000004</v>
      </c>
      <c r="W113" t="str">
        <f t="shared" si="4"/>
        <v>0.375" (9.525 mm)</v>
      </c>
    </row>
    <row r="114" spans="18:23">
      <c r="R114">
        <v>136</v>
      </c>
      <c r="S114">
        <v>0.375</v>
      </c>
      <c r="T114">
        <v>0.25</v>
      </c>
      <c r="U114">
        <v>0.375</v>
      </c>
      <c r="V114">
        <f t="shared" si="3"/>
        <v>9.5250000000000004</v>
      </c>
      <c r="W114" t="str">
        <f t="shared" si="4"/>
        <v>0.375" (9.525 mm)</v>
      </c>
    </row>
    <row r="115" spans="18:23">
      <c r="R115">
        <v>137</v>
      </c>
      <c r="S115">
        <v>0.375</v>
      </c>
      <c r="T115">
        <v>0.25</v>
      </c>
      <c r="U115">
        <v>0.375</v>
      </c>
      <c r="V115">
        <f t="shared" si="3"/>
        <v>9.5250000000000004</v>
      </c>
      <c r="W115" t="str">
        <f t="shared" si="4"/>
        <v>0.375" (9.525 mm)</v>
      </c>
    </row>
    <row r="116" spans="18:23">
      <c r="R116">
        <v>138</v>
      </c>
      <c r="S116">
        <v>0.375</v>
      </c>
      <c r="T116">
        <v>0.25</v>
      </c>
      <c r="U116">
        <v>0.375</v>
      </c>
      <c r="V116">
        <f t="shared" si="3"/>
        <v>9.5250000000000004</v>
      </c>
      <c r="W116" t="str">
        <f t="shared" si="4"/>
        <v>0.375" (9.525 mm)</v>
      </c>
    </row>
    <row r="117" spans="18:23">
      <c r="R117">
        <v>139</v>
      </c>
      <c r="S117">
        <v>0.375</v>
      </c>
      <c r="T117">
        <v>0.25</v>
      </c>
      <c r="U117">
        <v>0.375</v>
      </c>
      <c r="V117">
        <f t="shared" si="3"/>
        <v>9.5250000000000004</v>
      </c>
      <c r="W117" t="str">
        <f t="shared" si="4"/>
        <v>0.375" (9.525 mm)</v>
      </c>
    </row>
    <row r="118" spans="18:23">
      <c r="R118">
        <v>140</v>
      </c>
      <c r="S118">
        <v>0.375</v>
      </c>
      <c r="T118">
        <v>0.25</v>
      </c>
      <c r="U118">
        <v>0.375</v>
      </c>
      <c r="V118">
        <f t="shared" si="3"/>
        <v>9.5250000000000004</v>
      </c>
      <c r="W118" t="str">
        <f t="shared" si="4"/>
        <v>0.375" (9.525 mm)</v>
      </c>
    </row>
    <row r="119" spans="18:23">
      <c r="R119">
        <v>141</v>
      </c>
      <c r="S119">
        <v>0.375</v>
      </c>
      <c r="T119">
        <v>0.25</v>
      </c>
      <c r="U119">
        <v>0.375</v>
      </c>
      <c r="V119">
        <f t="shared" si="3"/>
        <v>9.5250000000000004</v>
      </c>
      <c r="W119" t="str">
        <f t="shared" si="4"/>
        <v>0.375" (9.525 mm)</v>
      </c>
    </row>
    <row r="120" spans="18:23">
      <c r="R120">
        <v>142</v>
      </c>
      <c r="S120">
        <v>0.375</v>
      </c>
      <c r="T120">
        <v>0.25</v>
      </c>
      <c r="U120">
        <v>0.375</v>
      </c>
      <c r="V120">
        <f t="shared" si="3"/>
        <v>9.5250000000000004</v>
      </c>
      <c r="W120" t="str">
        <f t="shared" si="4"/>
        <v>0.375" (9.525 mm)</v>
      </c>
    </row>
    <row r="121" spans="18:23">
      <c r="R121">
        <v>143</v>
      </c>
      <c r="S121">
        <v>0.375</v>
      </c>
      <c r="T121">
        <v>0.25</v>
      </c>
      <c r="U121">
        <v>0.375</v>
      </c>
      <c r="V121">
        <f t="shared" si="3"/>
        <v>9.5250000000000004</v>
      </c>
      <c r="W121" t="str">
        <f t="shared" si="4"/>
        <v>0.375" (9.525 mm)</v>
      </c>
    </row>
    <row r="122" spans="18:23">
      <c r="R122">
        <v>144</v>
      </c>
      <c r="S122">
        <v>0.375</v>
      </c>
      <c r="T122">
        <v>0.25</v>
      </c>
      <c r="U122">
        <v>0.375</v>
      </c>
      <c r="V122">
        <f t="shared" si="3"/>
        <v>9.5250000000000004</v>
      </c>
      <c r="W122" t="str">
        <f t="shared" si="4"/>
        <v>0.375" (9.525 mm)</v>
      </c>
    </row>
    <row r="123" spans="18:23">
      <c r="R123">
        <v>145</v>
      </c>
      <c r="S123">
        <v>0.375</v>
      </c>
      <c r="T123">
        <v>0.25</v>
      </c>
      <c r="U123">
        <v>0.375</v>
      </c>
      <c r="V123">
        <f t="shared" si="3"/>
        <v>9.5250000000000004</v>
      </c>
      <c r="W123" t="str">
        <f t="shared" si="4"/>
        <v>0.375" (9.525 mm)</v>
      </c>
    </row>
    <row r="124" spans="18:23">
      <c r="R124">
        <v>146</v>
      </c>
      <c r="S124">
        <v>0.375</v>
      </c>
      <c r="T124">
        <v>0.25</v>
      </c>
      <c r="U124">
        <v>0.375</v>
      </c>
      <c r="V124">
        <f t="shared" si="3"/>
        <v>9.5250000000000004</v>
      </c>
      <c r="W124" t="str">
        <f t="shared" si="4"/>
        <v>0.375" (9.525 mm)</v>
      </c>
    </row>
    <row r="125" spans="18:23">
      <c r="R125">
        <v>147</v>
      </c>
      <c r="S125">
        <v>0.375</v>
      </c>
      <c r="T125">
        <v>0.25</v>
      </c>
      <c r="U125">
        <v>0.375</v>
      </c>
      <c r="V125">
        <f t="shared" si="3"/>
        <v>9.5250000000000004</v>
      </c>
      <c r="W125" t="str">
        <f t="shared" si="4"/>
        <v>0.375" (9.525 mm)</v>
      </c>
    </row>
    <row r="126" spans="18:23">
      <c r="R126">
        <v>148</v>
      </c>
      <c r="S126">
        <v>0.375</v>
      </c>
      <c r="T126">
        <v>0.25</v>
      </c>
      <c r="U126">
        <v>0.375</v>
      </c>
      <c r="V126">
        <f t="shared" si="3"/>
        <v>9.5250000000000004</v>
      </c>
      <c r="W126" t="str">
        <f t="shared" si="4"/>
        <v>0.375" (9.525 mm)</v>
      </c>
    </row>
    <row r="127" spans="18:23">
      <c r="R127">
        <v>149</v>
      </c>
      <c r="S127">
        <v>0.375</v>
      </c>
      <c r="T127">
        <v>0.25</v>
      </c>
      <c r="U127">
        <v>0.375</v>
      </c>
      <c r="V127">
        <f t="shared" si="3"/>
        <v>9.5250000000000004</v>
      </c>
      <c r="W127" t="str">
        <f t="shared" si="4"/>
        <v>0.375" (9.525 mm)</v>
      </c>
    </row>
    <row r="128" spans="18:23">
      <c r="R128">
        <v>150</v>
      </c>
      <c r="S128">
        <v>0.375</v>
      </c>
      <c r="T128">
        <v>0.25</v>
      </c>
      <c r="U128">
        <v>0.375</v>
      </c>
      <c r="V128">
        <f t="shared" si="3"/>
        <v>9.5250000000000004</v>
      </c>
      <c r="W128" t="str">
        <f t="shared" si="4"/>
        <v>0.375" (9.525 mm)</v>
      </c>
    </row>
    <row r="129" spans="18:23">
      <c r="R129">
        <v>151</v>
      </c>
      <c r="S129">
        <v>0.5</v>
      </c>
      <c r="T129">
        <v>0.25</v>
      </c>
      <c r="U129">
        <v>0.375</v>
      </c>
      <c r="V129">
        <f t="shared" si="3"/>
        <v>12.7</v>
      </c>
      <c r="W129" t="str">
        <f t="shared" si="4"/>
        <v>0.5" (12.7 mm)</v>
      </c>
    </row>
    <row r="130" spans="18:23">
      <c r="R130">
        <v>152</v>
      </c>
      <c r="S130">
        <v>0.5</v>
      </c>
      <c r="T130">
        <v>0.25</v>
      </c>
      <c r="U130">
        <v>0.375</v>
      </c>
      <c r="V130">
        <f t="shared" ref="V130:V193" si="5">ROUND(S130*mm, 5)</f>
        <v>12.7</v>
      </c>
      <c r="W130" t="str">
        <f t="shared" si="4"/>
        <v>0.5" (12.7 mm)</v>
      </c>
    </row>
    <row r="131" spans="18:23">
      <c r="R131">
        <v>153</v>
      </c>
      <c r="S131">
        <v>0.5</v>
      </c>
      <c r="T131">
        <v>0.25</v>
      </c>
      <c r="U131">
        <v>0.375</v>
      </c>
      <c r="V131">
        <f t="shared" si="5"/>
        <v>12.7</v>
      </c>
      <c r="W131" t="str">
        <f t="shared" ref="W131:W194" si="6">S131&amp;""""&amp;" ("&amp;V131&amp;" mm)"</f>
        <v>0.5" (12.7 mm)</v>
      </c>
    </row>
    <row r="132" spans="18:23">
      <c r="R132">
        <v>154</v>
      </c>
      <c r="S132">
        <v>0.5</v>
      </c>
      <c r="T132">
        <v>0.25</v>
      </c>
      <c r="U132">
        <v>0.375</v>
      </c>
      <c r="V132">
        <f t="shared" si="5"/>
        <v>12.7</v>
      </c>
      <c r="W132" t="str">
        <f t="shared" si="6"/>
        <v>0.5" (12.7 mm)</v>
      </c>
    </row>
    <row r="133" spans="18:23">
      <c r="R133">
        <v>155</v>
      </c>
      <c r="S133">
        <v>0.5</v>
      </c>
      <c r="T133">
        <v>0.25</v>
      </c>
      <c r="U133">
        <v>0.375</v>
      </c>
      <c r="V133">
        <f t="shared" si="5"/>
        <v>12.7</v>
      </c>
      <c r="W133" t="str">
        <f t="shared" si="6"/>
        <v>0.5" (12.7 mm)</v>
      </c>
    </row>
    <row r="134" spans="18:23">
      <c r="R134">
        <v>156</v>
      </c>
      <c r="S134">
        <v>0.5</v>
      </c>
      <c r="T134">
        <v>0.25</v>
      </c>
      <c r="U134">
        <v>0.375</v>
      </c>
      <c r="V134">
        <f t="shared" si="5"/>
        <v>12.7</v>
      </c>
      <c r="W134" t="str">
        <f t="shared" si="6"/>
        <v>0.5" (12.7 mm)</v>
      </c>
    </row>
    <row r="135" spans="18:23">
      <c r="R135">
        <v>157</v>
      </c>
      <c r="S135">
        <v>0.5</v>
      </c>
      <c r="T135">
        <v>0.25</v>
      </c>
      <c r="U135">
        <v>0.375</v>
      </c>
      <c r="V135">
        <f t="shared" si="5"/>
        <v>12.7</v>
      </c>
      <c r="W135" t="str">
        <f t="shared" si="6"/>
        <v>0.5" (12.7 mm)</v>
      </c>
    </row>
    <row r="136" spans="18:23">
      <c r="R136">
        <v>158</v>
      </c>
      <c r="S136">
        <v>0.5</v>
      </c>
      <c r="T136">
        <v>0.25</v>
      </c>
      <c r="U136">
        <v>0.375</v>
      </c>
      <c r="V136">
        <f t="shared" si="5"/>
        <v>12.7</v>
      </c>
      <c r="W136" t="str">
        <f t="shared" si="6"/>
        <v>0.5" (12.7 mm)</v>
      </c>
    </row>
    <row r="137" spans="18:23">
      <c r="R137">
        <v>159</v>
      </c>
      <c r="S137">
        <v>0.5</v>
      </c>
      <c r="T137">
        <v>0.25</v>
      </c>
      <c r="U137">
        <v>0.375</v>
      </c>
      <c r="V137">
        <f t="shared" si="5"/>
        <v>12.7</v>
      </c>
      <c r="W137" t="str">
        <f t="shared" si="6"/>
        <v>0.5" (12.7 mm)</v>
      </c>
    </row>
    <row r="138" spans="18:23">
      <c r="R138">
        <v>160</v>
      </c>
      <c r="S138">
        <v>0.5</v>
      </c>
      <c r="T138">
        <v>0.25</v>
      </c>
      <c r="U138">
        <v>0.375</v>
      </c>
      <c r="V138">
        <f t="shared" si="5"/>
        <v>12.7</v>
      </c>
      <c r="W138" t="str">
        <f t="shared" si="6"/>
        <v>0.5" (12.7 mm)</v>
      </c>
    </row>
    <row r="139" spans="18:23">
      <c r="R139">
        <v>161</v>
      </c>
      <c r="S139">
        <v>0.5</v>
      </c>
      <c r="T139">
        <v>0.25</v>
      </c>
      <c r="U139">
        <v>0.375</v>
      </c>
      <c r="V139">
        <f t="shared" si="5"/>
        <v>12.7</v>
      </c>
      <c r="W139" t="str">
        <f t="shared" si="6"/>
        <v>0.5" (12.7 mm)</v>
      </c>
    </row>
    <row r="140" spans="18:23">
      <c r="R140">
        <v>162</v>
      </c>
      <c r="S140">
        <v>0.5</v>
      </c>
      <c r="T140">
        <v>0.25</v>
      </c>
      <c r="U140">
        <v>0.375</v>
      </c>
      <c r="V140">
        <f t="shared" si="5"/>
        <v>12.7</v>
      </c>
      <c r="W140" t="str">
        <f t="shared" si="6"/>
        <v>0.5" (12.7 mm)</v>
      </c>
    </row>
    <row r="141" spans="18:23">
      <c r="R141">
        <v>163</v>
      </c>
      <c r="S141">
        <v>0.5</v>
      </c>
      <c r="T141">
        <v>0.25</v>
      </c>
      <c r="U141">
        <v>0.375</v>
      </c>
      <c r="V141">
        <f t="shared" si="5"/>
        <v>12.7</v>
      </c>
      <c r="W141" t="str">
        <f t="shared" si="6"/>
        <v>0.5" (12.7 mm)</v>
      </c>
    </row>
    <row r="142" spans="18:23">
      <c r="R142">
        <v>164</v>
      </c>
      <c r="S142">
        <v>0.5</v>
      </c>
      <c r="T142">
        <v>0.25</v>
      </c>
      <c r="U142">
        <v>0.375</v>
      </c>
      <c r="V142">
        <f t="shared" si="5"/>
        <v>12.7</v>
      </c>
      <c r="W142" t="str">
        <f t="shared" si="6"/>
        <v>0.5" (12.7 mm)</v>
      </c>
    </row>
    <row r="143" spans="18:23">
      <c r="R143">
        <v>165</v>
      </c>
      <c r="S143">
        <v>0.5</v>
      </c>
      <c r="T143">
        <v>0.25</v>
      </c>
      <c r="U143">
        <v>0.375</v>
      </c>
      <c r="V143">
        <f t="shared" si="5"/>
        <v>12.7</v>
      </c>
      <c r="W143" t="str">
        <f t="shared" si="6"/>
        <v>0.5" (12.7 mm)</v>
      </c>
    </row>
    <row r="144" spans="18:23">
      <c r="R144">
        <v>166</v>
      </c>
      <c r="S144">
        <v>0.5</v>
      </c>
      <c r="T144">
        <v>0.25</v>
      </c>
      <c r="U144">
        <v>0.375</v>
      </c>
      <c r="V144">
        <f t="shared" si="5"/>
        <v>12.7</v>
      </c>
      <c r="W144" t="str">
        <f t="shared" si="6"/>
        <v>0.5" (12.7 mm)</v>
      </c>
    </row>
    <row r="145" spans="18:23">
      <c r="R145">
        <v>167</v>
      </c>
      <c r="S145">
        <v>0.5</v>
      </c>
      <c r="T145">
        <v>0.25</v>
      </c>
      <c r="U145">
        <v>0.375</v>
      </c>
      <c r="V145">
        <f t="shared" si="5"/>
        <v>12.7</v>
      </c>
      <c r="W145" t="str">
        <f t="shared" si="6"/>
        <v>0.5" (12.7 mm)</v>
      </c>
    </row>
    <row r="146" spans="18:23">
      <c r="R146">
        <v>168</v>
      </c>
      <c r="S146">
        <v>0.5</v>
      </c>
      <c r="T146">
        <v>0.25</v>
      </c>
      <c r="U146">
        <v>0.375</v>
      </c>
      <c r="V146">
        <f t="shared" si="5"/>
        <v>12.7</v>
      </c>
      <c r="W146" t="str">
        <f t="shared" si="6"/>
        <v>0.5" (12.7 mm)</v>
      </c>
    </row>
    <row r="147" spans="18:23">
      <c r="R147">
        <v>169</v>
      </c>
      <c r="S147">
        <v>0.5</v>
      </c>
      <c r="T147">
        <v>0.25</v>
      </c>
      <c r="U147">
        <v>0.375</v>
      </c>
      <c r="V147">
        <f t="shared" si="5"/>
        <v>12.7</v>
      </c>
      <c r="W147" t="str">
        <f t="shared" si="6"/>
        <v>0.5" (12.7 mm)</v>
      </c>
    </row>
    <row r="148" spans="18:23">
      <c r="R148">
        <v>170</v>
      </c>
      <c r="S148">
        <v>0.5</v>
      </c>
      <c r="T148">
        <v>0.25</v>
      </c>
      <c r="U148">
        <v>0.375</v>
      </c>
      <c r="V148">
        <f t="shared" si="5"/>
        <v>12.7</v>
      </c>
      <c r="W148" t="str">
        <f t="shared" si="6"/>
        <v>0.5" (12.7 mm)</v>
      </c>
    </row>
    <row r="149" spans="18:23">
      <c r="R149">
        <v>171</v>
      </c>
      <c r="S149">
        <v>0.5</v>
      </c>
      <c r="T149">
        <v>0.25</v>
      </c>
      <c r="U149">
        <v>0.375</v>
      </c>
      <c r="V149">
        <f t="shared" si="5"/>
        <v>12.7</v>
      </c>
      <c r="W149" t="str">
        <f t="shared" si="6"/>
        <v>0.5" (12.7 mm)</v>
      </c>
    </row>
    <row r="150" spans="18:23">
      <c r="R150">
        <v>172</v>
      </c>
      <c r="S150">
        <v>0.5</v>
      </c>
      <c r="T150">
        <v>0.25</v>
      </c>
      <c r="U150">
        <v>0.375</v>
      </c>
      <c r="V150">
        <f t="shared" si="5"/>
        <v>12.7</v>
      </c>
      <c r="W150" t="str">
        <f t="shared" si="6"/>
        <v>0.5" (12.7 mm)</v>
      </c>
    </row>
    <row r="151" spans="18:23">
      <c r="R151">
        <v>173</v>
      </c>
      <c r="S151">
        <v>0.5</v>
      </c>
      <c r="T151">
        <v>0.25</v>
      </c>
      <c r="U151">
        <v>0.375</v>
      </c>
      <c r="V151">
        <f t="shared" si="5"/>
        <v>12.7</v>
      </c>
      <c r="W151" t="str">
        <f t="shared" si="6"/>
        <v>0.5" (12.7 mm)</v>
      </c>
    </row>
    <row r="152" spans="18:23">
      <c r="R152">
        <v>174</v>
      </c>
      <c r="S152">
        <v>0.5</v>
      </c>
      <c r="T152">
        <v>0.25</v>
      </c>
      <c r="U152">
        <v>0.375</v>
      </c>
      <c r="V152">
        <f t="shared" si="5"/>
        <v>12.7</v>
      </c>
      <c r="W152" t="str">
        <f t="shared" si="6"/>
        <v>0.5" (12.7 mm)</v>
      </c>
    </row>
    <row r="153" spans="18:23">
      <c r="R153">
        <v>175</v>
      </c>
      <c r="S153">
        <v>0.5</v>
      </c>
      <c r="T153">
        <v>0.25</v>
      </c>
      <c r="U153">
        <v>0.375</v>
      </c>
      <c r="V153">
        <f t="shared" si="5"/>
        <v>12.7</v>
      </c>
      <c r="W153" t="str">
        <f t="shared" si="6"/>
        <v>0.5" (12.7 mm)</v>
      </c>
    </row>
    <row r="154" spans="18:23">
      <c r="R154">
        <v>176</v>
      </c>
      <c r="S154">
        <v>0.5</v>
      </c>
      <c r="T154">
        <v>0.25</v>
      </c>
      <c r="U154">
        <v>0.375</v>
      </c>
      <c r="V154">
        <f t="shared" si="5"/>
        <v>12.7</v>
      </c>
      <c r="W154" t="str">
        <f t="shared" si="6"/>
        <v>0.5" (12.7 mm)</v>
      </c>
    </row>
    <row r="155" spans="18:23">
      <c r="R155">
        <v>177</v>
      </c>
      <c r="S155">
        <v>0.5</v>
      </c>
      <c r="T155">
        <v>0.25</v>
      </c>
      <c r="U155">
        <v>0.375</v>
      </c>
      <c r="V155">
        <f t="shared" si="5"/>
        <v>12.7</v>
      </c>
      <c r="W155" t="str">
        <f t="shared" si="6"/>
        <v>0.5" (12.7 mm)</v>
      </c>
    </row>
    <row r="156" spans="18:23">
      <c r="R156">
        <v>178</v>
      </c>
      <c r="S156">
        <v>0.5</v>
      </c>
      <c r="T156">
        <v>0.25</v>
      </c>
      <c r="U156">
        <v>0.375</v>
      </c>
      <c r="V156">
        <f t="shared" si="5"/>
        <v>12.7</v>
      </c>
      <c r="W156" t="str">
        <f t="shared" si="6"/>
        <v>0.5" (12.7 mm)</v>
      </c>
    </row>
    <row r="157" spans="18:23">
      <c r="R157">
        <v>179</v>
      </c>
      <c r="S157">
        <v>0.5</v>
      </c>
      <c r="T157">
        <v>0.25</v>
      </c>
      <c r="U157">
        <v>0.375</v>
      </c>
      <c r="V157">
        <f t="shared" si="5"/>
        <v>12.7</v>
      </c>
      <c r="W157" t="str">
        <f t="shared" si="6"/>
        <v>0.5" (12.7 mm)</v>
      </c>
    </row>
    <row r="158" spans="18:23">
      <c r="R158">
        <v>180</v>
      </c>
      <c r="S158">
        <v>0.5</v>
      </c>
      <c r="T158">
        <v>0.25</v>
      </c>
      <c r="U158">
        <v>0.375</v>
      </c>
      <c r="V158">
        <f t="shared" si="5"/>
        <v>12.7</v>
      </c>
      <c r="W158" t="str">
        <f t="shared" si="6"/>
        <v>0.5" (12.7 mm)</v>
      </c>
    </row>
    <row r="159" spans="18:23">
      <c r="R159">
        <v>181</v>
      </c>
      <c r="S159">
        <v>0.5</v>
      </c>
      <c r="T159">
        <v>0.25</v>
      </c>
      <c r="U159">
        <v>0.375</v>
      </c>
      <c r="V159">
        <f t="shared" si="5"/>
        <v>12.7</v>
      </c>
      <c r="W159" t="str">
        <f t="shared" si="6"/>
        <v>0.5" (12.7 mm)</v>
      </c>
    </row>
    <row r="160" spans="18:23">
      <c r="R160">
        <v>182</v>
      </c>
      <c r="S160">
        <v>0.5</v>
      </c>
      <c r="T160">
        <v>0.25</v>
      </c>
      <c r="U160">
        <v>0.375</v>
      </c>
      <c r="V160">
        <f t="shared" si="5"/>
        <v>12.7</v>
      </c>
      <c r="W160" t="str">
        <f t="shared" si="6"/>
        <v>0.5" (12.7 mm)</v>
      </c>
    </row>
    <row r="161" spans="18:23">
      <c r="R161">
        <v>183</v>
      </c>
      <c r="S161">
        <v>0.5</v>
      </c>
      <c r="T161">
        <v>0.25</v>
      </c>
      <c r="U161">
        <v>0.375</v>
      </c>
      <c r="V161">
        <f t="shared" si="5"/>
        <v>12.7</v>
      </c>
      <c r="W161" t="str">
        <f t="shared" si="6"/>
        <v>0.5" (12.7 mm)</v>
      </c>
    </row>
    <row r="162" spans="18:23">
      <c r="R162">
        <v>184</v>
      </c>
      <c r="S162">
        <v>0.5</v>
      </c>
      <c r="T162">
        <v>0.25</v>
      </c>
      <c r="U162">
        <v>0.375</v>
      </c>
      <c r="V162">
        <f t="shared" si="5"/>
        <v>12.7</v>
      </c>
      <c r="W162" t="str">
        <f t="shared" si="6"/>
        <v>0.5" (12.7 mm)</v>
      </c>
    </row>
    <row r="163" spans="18:23">
      <c r="R163">
        <v>185</v>
      </c>
      <c r="S163">
        <v>0.5</v>
      </c>
      <c r="T163">
        <v>0.25</v>
      </c>
      <c r="U163">
        <v>0.375</v>
      </c>
      <c r="V163">
        <f t="shared" si="5"/>
        <v>12.7</v>
      </c>
      <c r="W163" t="str">
        <f t="shared" si="6"/>
        <v>0.5" (12.7 mm)</v>
      </c>
    </row>
    <row r="164" spans="18:23">
      <c r="R164">
        <v>186</v>
      </c>
      <c r="S164">
        <v>0.5</v>
      </c>
      <c r="T164">
        <v>0.25</v>
      </c>
      <c r="U164">
        <v>0.375</v>
      </c>
      <c r="V164">
        <f t="shared" si="5"/>
        <v>12.7</v>
      </c>
      <c r="W164" t="str">
        <f t="shared" si="6"/>
        <v>0.5" (12.7 mm)</v>
      </c>
    </row>
    <row r="165" spans="18:23">
      <c r="R165">
        <v>187</v>
      </c>
      <c r="S165">
        <v>0.5</v>
      </c>
      <c r="T165">
        <v>0.25</v>
      </c>
      <c r="U165">
        <v>0.375</v>
      </c>
      <c r="V165">
        <f t="shared" si="5"/>
        <v>12.7</v>
      </c>
      <c r="W165" t="str">
        <f t="shared" si="6"/>
        <v>0.5" (12.7 mm)</v>
      </c>
    </row>
    <row r="166" spans="18:23">
      <c r="R166">
        <v>188</v>
      </c>
      <c r="S166">
        <v>0.5</v>
      </c>
      <c r="T166">
        <v>0.25</v>
      </c>
      <c r="U166">
        <v>0.375</v>
      </c>
      <c r="V166">
        <f t="shared" si="5"/>
        <v>12.7</v>
      </c>
      <c r="W166" t="str">
        <f t="shared" si="6"/>
        <v>0.5" (12.7 mm)</v>
      </c>
    </row>
    <row r="167" spans="18:23">
      <c r="R167">
        <v>189</v>
      </c>
      <c r="S167">
        <v>0.5</v>
      </c>
      <c r="T167">
        <v>0.25</v>
      </c>
      <c r="U167">
        <v>0.375</v>
      </c>
      <c r="V167">
        <f t="shared" si="5"/>
        <v>12.7</v>
      </c>
      <c r="W167" t="str">
        <f t="shared" si="6"/>
        <v>0.5" (12.7 mm)</v>
      </c>
    </row>
    <row r="168" spans="18:23">
      <c r="R168">
        <v>190</v>
      </c>
      <c r="S168">
        <v>0.5</v>
      </c>
      <c r="T168">
        <v>0.25</v>
      </c>
      <c r="U168">
        <v>0.375</v>
      </c>
      <c r="V168">
        <f t="shared" si="5"/>
        <v>12.7</v>
      </c>
      <c r="W168" t="str">
        <f t="shared" si="6"/>
        <v>0.5" (12.7 mm)</v>
      </c>
    </row>
    <row r="169" spans="18:23">
      <c r="R169">
        <v>191</v>
      </c>
      <c r="S169">
        <v>0.5</v>
      </c>
      <c r="T169">
        <v>0.25</v>
      </c>
      <c r="U169">
        <v>0.375</v>
      </c>
      <c r="V169">
        <f t="shared" si="5"/>
        <v>12.7</v>
      </c>
      <c r="W169" t="str">
        <f t="shared" si="6"/>
        <v>0.5" (12.7 mm)</v>
      </c>
    </row>
    <row r="170" spans="18:23">
      <c r="R170">
        <v>192</v>
      </c>
      <c r="S170">
        <v>0.5</v>
      </c>
      <c r="T170">
        <v>0.25</v>
      </c>
      <c r="U170">
        <v>0.375</v>
      </c>
      <c r="V170">
        <f t="shared" si="5"/>
        <v>12.7</v>
      </c>
      <c r="W170" t="str">
        <f t="shared" si="6"/>
        <v>0.5" (12.7 mm)</v>
      </c>
    </row>
    <row r="171" spans="18:23">
      <c r="R171">
        <v>193</v>
      </c>
      <c r="S171">
        <v>0.5</v>
      </c>
      <c r="T171">
        <v>0.25</v>
      </c>
      <c r="U171">
        <v>0.375</v>
      </c>
      <c r="V171">
        <f t="shared" si="5"/>
        <v>12.7</v>
      </c>
      <c r="W171" t="str">
        <f t="shared" si="6"/>
        <v>0.5" (12.7 mm)</v>
      </c>
    </row>
    <row r="172" spans="18:23">
      <c r="R172">
        <v>194</v>
      </c>
      <c r="S172">
        <v>0.5</v>
      </c>
      <c r="T172">
        <v>0.25</v>
      </c>
      <c r="U172">
        <v>0.375</v>
      </c>
      <c r="V172">
        <f t="shared" si="5"/>
        <v>12.7</v>
      </c>
      <c r="W172" t="str">
        <f t="shared" si="6"/>
        <v>0.5" (12.7 mm)</v>
      </c>
    </row>
    <row r="173" spans="18:23">
      <c r="R173">
        <v>195</v>
      </c>
      <c r="S173">
        <v>0.5</v>
      </c>
      <c r="T173">
        <v>0.25</v>
      </c>
      <c r="U173">
        <v>0.375</v>
      </c>
      <c r="V173">
        <f t="shared" si="5"/>
        <v>12.7</v>
      </c>
      <c r="W173" t="str">
        <f t="shared" si="6"/>
        <v>0.5" (12.7 mm)</v>
      </c>
    </row>
    <row r="174" spans="18:23">
      <c r="R174">
        <v>196</v>
      </c>
      <c r="S174">
        <v>0.5</v>
      </c>
      <c r="T174">
        <v>0.25</v>
      </c>
      <c r="U174">
        <v>0.375</v>
      </c>
      <c r="V174">
        <f t="shared" si="5"/>
        <v>12.7</v>
      </c>
      <c r="W174" t="str">
        <f t="shared" si="6"/>
        <v>0.5" (12.7 mm)</v>
      </c>
    </row>
    <row r="175" spans="18:23">
      <c r="R175">
        <v>197</v>
      </c>
      <c r="S175">
        <v>0.5</v>
      </c>
      <c r="T175">
        <v>0.25</v>
      </c>
      <c r="U175">
        <v>0.375</v>
      </c>
      <c r="V175">
        <f t="shared" si="5"/>
        <v>12.7</v>
      </c>
      <c r="W175" t="str">
        <f t="shared" si="6"/>
        <v>0.5" (12.7 mm)</v>
      </c>
    </row>
    <row r="176" spans="18:23">
      <c r="R176">
        <v>198</v>
      </c>
      <c r="S176">
        <v>0.5</v>
      </c>
      <c r="T176">
        <v>0.25</v>
      </c>
      <c r="U176">
        <v>0.375</v>
      </c>
      <c r="V176">
        <f t="shared" si="5"/>
        <v>12.7</v>
      </c>
      <c r="W176" t="str">
        <f t="shared" si="6"/>
        <v>0.5" (12.7 mm)</v>
      </c>
    </row>
    <row r="177" spans="18:23">
      <c r="R177">
        <v>199</v>
      </c>
      <c r="S177">
        <v>0.5</v>
      </c>
      <c r="T177">
        <v>0.25</v>
      </c>
      <c r="U177">
        <v>0.375</v>
      </c>
      <c r="V177">
        <f t="shared" si="5"/>
        <v>12.7</v>
      </c>
      <c r="W177" t="str">
        <f t="shared" si="6"/>
        <v>0.5" (12.7 mm)</v>
      </c>
    </row>
    <row r="178" spans="18:23">
      <c r="R178">
        <v>200</v>
      </c>
      <c r="S178">
        <v>0.5</v>
      </c>
      <c r="T178">
        <v>0.25</v>
      </c>
      <c r="U178">
        <v>0.375</v>
      </c>
      <c r="V178">
        <f t="shared" si="5"/>
        <v>12.7</v>
      </c>
      <c r="W178" t="str">
        <f t="shared" si="6"/>
        <v>0.5" (12.7 mm)</v>
      </c>
    </row>
    <row r="179" spans="18:23">
      <c r="R179">
        <v>201</v>
      </c>
      <c r="S179">
        <v>0.5</v>
      </c>
      <c r="T179">
        <v>0.25</v>
      </c>
      <c r="U179">
        <v>0.375</v>
      </c>
      <c r="V179">
        <f t="shared" si="5"/>
        <v>12.7</v>
      </c>
      <c r="W179" t="str">
        <f t="shared" si="6"/>
        <v>0.5" (12.7 mm)</v>
      </c>
    </row>
    <row r="180" spans="18:23">
      <c r="R180">
        <v>202</v>
      </c>
      <c r="S180">
        <v>0.5</v>
      </c>
      <c r="T180">
        <v>0.25</v>
      </c>
      <c r="U180">
        <v>0.375</v>
      </c>
      <c r="V180">
        <f t="shared" si="5"/>
        <v>12.7</v>
      </c>
      <c r="W180" t="str">
        <f t="shared" si="6"/>
        <v>0.5" (12.7 mm)</v>
      </c>
    </row>
    <row r="181" spans="18:23">
      <c r="R181">
        <v>203</v>
      </c>
      <c r="S181">
        <v>0.5</v>
      </c>
      <c r="T181">
        <v>0.25</v>
      </c>
      <c r="U181">
        <v>0.375</v>
      </c>
      <c r="V181">
        <f t="shared" si="5"/>
        <v>12.7</v>
      </c>
      <c r="W181" t="str">
        <f t="shared" si="6"/>
        <v>0.5" (12.7 mm)</v>
      </c>
    </row>
    <row r="182" spans="18:23">
      <c r="R182">
        <v>204</v>
      </c>
      <c r="S182">
        <v>0.5</v>
      </c>
      <c r="T182">
        <v>0.25</v>
      </c>
      <c r="U182">
        <v>0.375</v>
      </c>
      <c r="V182">
        <f t="shared" si="5"/>
        <v>12.7</v>
      </c>
      <c r="W182" t="str">
        <f t="shared" si="6"/>
        <v>0.5" (12.7 mm)</v>
      </c>
    </row>
    <row r="183" spans="18:23">
      <c r="R183">
        <v>205</v>
      </c>
      <c r="S183">
        <v>0.5</v>
      </c>
      <c r="T183">
        <v>0.25</v>
      </c>
      <c r="U183">
        <v>0.375</v>
      </c>
      <c r="V183">
        <f t="shared" si="5"/>
        <v>12.7</v>
      </c>
      <c r="W183" t="str">
        <f t="shared" si="6"/>
        <v>0.5" (12.7 mm)</v>
      </c>
    </row>
    <row r="184" spans="18:23">
      <c r="R184">
        <v>206</v>
      </c>
      <c r="S184">
        <v>0.5</v>
      </c>
      <c r="T184">
        <v>0.25</v>
      </c>
      <c r="U184">
        <v>0.375</v>
      </c>
      <c r="V184">
        <f t="shared" si="5"/>
        <v>12.7</v>
      </c>
      <c r="W184" t="str">
        <f t="shared" si="6"/>
        <v>0.5" (12.7 mm)</v>
      </c>
    </row>
    <row r="185" spans="18:23">
      <c r="R185">
        <v>207</v>
      </c>
      <c r="S185">
        <v>0.5</v>
      </c>
      <c r="T185">
        <v>0.25</v>
      </c>
      <c r="U185">
        <v>0.375</v>
      </c>
      <c r="V185">
        <f t="shared" si="5"/>
        <v>12.7</v>
      </c>
      <c r="W185" t="str">
        <f t="shared" si="6"/>
        <v>0.5" (12.7 mm)</v>
      </c>
    </row>
    <row r="186" spans="18:23">
      <c r="R186">
        <v>208</v>
      </c>
      <c r="S186">
        <v>0.5</v>
      </c>
      <c r="T186">
        <v>0.25</v>
      </c>
      <c r="U186">
        <v>0.375</v>
      </c>
      <c r="V186">
        <f t="shared" si="5"/>
        <v>12.7</v>
      </c>
      <c r="W186" t="str">
        <f t="shared" si="6"/>
        <v>0.5" (12.7 mm)</v>
      </c>
    </row>
    <row r="187" spans="18:23">
      <c r="R187">
        <v>209</v>
      </c>
      <c r="S187">
        <v>0.5</v>
      </c>
      <c r="T187">
        <v>0.25</v>
      </c>
      <c r="U187">
        <v>0.375</v>
      </c>
      <c r="V187">
        <f t="shared" si="5"/>
        <v>12.7</v>
      </c>
      <c r="W187" t="str">
        <f t="shared" si="6"/>
        <v>0.5" (12.7 mm)</v>
      </c>
    </row>
    <row r="188" spans="18:23">
      <c r="R188">
        <v>210</v>
      </c>
      <c r="S188">
        <v>0.5</v>
      </c>
      <c r="T188">
        <v>0.25</v>
      </c>
      <c r="U188">
        <v>0.375</v>
      </c>
      <c r="V188">
        <f t="shared" si="5"/>
        <v>12.7</v>
      </c>
      <c r="W188" t="str">
        <f t="shared" si="6"/>
        <v>0.5" (12.7 mm)</v>
      </c>
    </row>
    <row r="189" spans="18:23">
      <c r="R189">
        <v>211</v>
      </c>
      <c r="S189">
        <v>0.5</v>
      </c>
      <c r="T189">
        <v>0.25</v>
      </c>
      <c r="U189">
        <v>0.375</v>
      </c>
      <c r="V189">
        <f t="shared" si="5"/>
        <v>12.7</v>
      </c>
      <c r="W189" t="str">
        <f t="shared" si="6"/>
        <v>0.5" (12.7 mm)</v>
      </c>
    </row>
    <row r="190" spans="18:23">
      <c r="R190">
        <v>212</v>
      </c>
      <c r="S190">
        <v>0.5</v>
      </c>
      <c r="T190">
        <v>0.25</v>
      </c>
      <c r="U190">
        <v>0.375</v>
      </c>
      <c r="V190">
        <f t="shared" si="5"/>
        <v>12.7</v>
      </c>
      <c r="W190" t="str">
        <f t="shared" si="6"/>
        <v>0.5" (12.7 mm)</v>
      </c>
    </row>
    <row r="191" spans="18:23">
      <c r="R191">
        <v>213</v>
      </c>
      <c r="S191">
        <v>0.5</v>
      </c>
      <c r="T191">
        <v>0.25</v>
      </c>
      <c r="U191">
        <v>0.375</v>
      </c>
      <c r="V191">
        <f t="shared" si="5"/>
        <v>12.7</v>
      </c>
      <c r="W191" t="str">
        <f t="shared" si="6"/>
        <v>0.5" (12.7 mm)</v>
      </c>
    </row>
    <row r="192" spans="18:23">
      <c r="R192">
        <v>214</v>
      </c>
      <c r="S192">
        <v>0.5</v>
      </c>
      <c r="T192">
        <v>0.25</v>
      </c>
      <c r="U192">
        <v>0.375</v>
      </c>
      <c r="V192">
        <f t="shared" si="5"/>
        <v>12.7</v>
      </c>
      <c r="W192" t="str">
        <f t="shared" si="6"/>
        <v>0.5" (12.7 mm)</v>
      </c>
    </row>
    <row r="193" spans="18:23">
      <c r="R193">
        <v>215</v>
      </c>
      <c r="S193">
        <v>0.5</v>
      </c>
      <c r="T193">
        <v>0.25</v>
      </c>
      <c r="U193">
        <v>0.375</v>
      </c>
      <c r="V193">
        <f t="shared" si="5"/>
        <v>12.7</v>
      </c>
      <c r="W193" t="str">
        <f t="shared" si="6"/>
        <v>0.5" (12.7 mm)</v>
      </c>
    </row>
    <row r="194" spans="18:23">
      <c r="R194">
        <v>216</v>
      </c>
      <c r="S194">
        <v>0.5</v>
      </c>
      <c r="T194">
        <v>0.25</v>
      </c>
      <c r="U194">
        <v>0.375</v>
      </c>
      <c r="V194">
        <f t="shared" ref="V194:V257" si="7">ROUND(S194*mm, 5)</f>
        <v>12.7</v>
      </c>
      <c r="W194" t="str">
        <f t="shared" si="6"/>
        <v>0.5" (12.7 mm)</v>
      </c>
    </row>
    <row r="195" spans="18:23">
      <c r="R195">
        <v>217</v>
      </c>
      <c r="S195">
        <v>0.5</v>
      </c>
      <c r="T195">
        <v>0.25</v>
      </c>
      <c r="U195">
        <v>0.375</v>
      </c>
      <c r="V195">
        <f t="shared" si="7"/>
        <v>12.7</v>
      </c>
      <c r="W195" t="str">
        <f t="shared" ref="W195:W258" si="8">S195&amp;""""&amp;" ("&amp;V195&amp;" mm)"</f>
        <v>0.5" (12.7 mm)</v>
      </c>
    </row>
    <row r="196" spans="18:23">
      <c r="R196">
        <v>218</v>
      </c>
      <c r="S196">
        <v>0.5</v>
      </c>
      <c r="T196">
        <v>0.25</v>
      </c>
      <c r="U196">
        <v>0.375</v>
      </c>
      <c r="V196">
        <f t="shared" si="7"/>
        <v>12.7</v>
      </c>
      <c r="W196" t="str">
        <f t="shared" si="8"/>
        <v>0.5" (12.7 mm)</v>
      </c>
    </row>
    <row r="197" spans="18:23">
      <c r="R197">
        <v>219</v>
      </c>
      <c r="S197">
        <v>0.5</v>
      </c>
      <c r="T197">
        <v>0.25</v>
      </c>
      <c r="U197">
        <v>0.375</v>
      </c>
      <c r="V197">
        <f t="shared" si="7"/>
        <v>12.7</v>
      </c>
      <c r="W197" t="str">
        <f t="shared" si="8"/>
        <v>0.5" (12.7 mm)</v>
      </c>
    </row>
    <row r="198" spans="18:23">
      <c r="R198">
        <v>220</v>
      </c>
      <c r="S198">
        <v>0.5</v>
      </c>
      <c r="T198">
        <v>0.25</v>
      </c>
      <c r="U198">
        <v>0.375</v>
      </c>
      <c r="V198">
        <f t="shared" si="7"/>
        <v>12.7</v>
      </c>
      <c r="W198" t="str">
        <f t="shared" si="8"/>
        <v>0.5" (12.7 mm)</v>
      </c>
    </row>
    <row r="199" spans="18:23">
      <c r="R199">
        <v>221</v>
      </c>
      <c r="S199">
        <v>0.5</v>
      </c>
      <c r="T199">
        <v>0.25</v>
      </c>
      <c r="U199">
        <v>0.375</v>
      </c>
      <c r="V199">
        <f t="shared" si="7"/>
        <v>12.7</v>
      </c>
      <c r="W199" t="str">
        <f t="shared" si="8"/>
        <v>0.5" (12.7 mm)</v>
      </c>
    </row>
    <row r="200" spans="18:23">
      <c r="R200">
        <v>222</v>
      </c>
      <c r="S200">
        <v>0.5</v>
      </c>
      <c r="T200">
        <v>0.25</v>
      </c>
      <c r="U200">
        <v>0.375</v>
      </c>
      <c r="V200">
        <f t="shared" si="7"/>
        <v>12.7</v>
      </c>
      <c r="W200" t="str">
        <f t="shared" si="8"/>
        <v>0.5" (12.7 mm)</v>
      </c>
    </row>
    <row r="201" spans="18:23">
      <c r="R201">
        <v>223</v>
      </c>
      <c r="S201">
        <v>0.5</v>
      </c>
      <c r="T201">
        <v>0.25</v>
      </c>
      <c r="U201">
        <v>0.375</v>
      </c>
      <c r="V201">
        <f t="shared" si="7"/>
        <v>12.7</v>
      </c>
      <c r="W201" t="str">
        <f t="shared" si="8"/>
        <v>0.5" (12.7 mm)</v>
      </c>
    </row>
    <row r="202" spans="18:23">
      <c r="R202">
        <v>224</v>
      </c>
      <c r="S202">
        <v>0.5</v>
      </c>
      <c r="T202">
        <v>0.25</v>
      </c>
      <c r="U202">
        <v>0.375</v>
      </c>
      <c r="V202">
        <f t="shared" si="7"/>
        <v>12.7</v>
      </c>
      <c r="W202" t="str">
        <f t="shared" si="8"/>
        <v>0.5" (12.7 mm)</v>
      </c>
    </row>
    <row r="203" spans="18:23">
      <c r="R203">
        <v>225</v>
      </c>
      <c r="S203">
        <v>0.5</v>
      </c>
      <c r="T203">
        <v>0.25</v>
      </c>
      <c r="U203">
        <v>0.375</v>
      </c>
      <c r="V203">
        <f t="shared" si="7"/>
        <v>12.7</v>
      </c>
      <c r="W203" t="str">
        <f t="shared" si="8"/>
        <v>0.5" (12.7 mm)</v>
      </c>
    </row>
    <row r="204" spans="18:23">
      <c r="R204">
        <v>226</v>
      </c>
      <c r="S204">
        <v>0.5</v>
      </c>
      <c r="T204">
        <v>0.25</v>
      </c>
      <c r="U204">
        <v>0.375</v>
      </c>
      <c r="V204">
        <f t="shared" si="7"/>
        <v>12.7</v>
      </c>
      <c r="W204" t="str">
        <f t="shared" si="8"/>
        <v>0.5" (12.7 mm)</v>
      </c>
    </row>
    <row r="205" spans="18:23">
      <c r="R205">
        <v>227</v>
      </c>
      <c r="S205">
        <v>0.5</v>
      </c>
      <c r="T205">
        <v>0.25</v>
      </c>
      <c r="U205">
        <v>0.375</v>
      </c>
      <c r="V205">
        <f t="shared" si="7"/>
        <v>12.7</v>
      </c>
      <c r="W205" t="str">
        <f t="shared" si="8"/>
        <v>0.5" (12.7 mm)</v>
      </c>
    </row>
    <row r="206" spans="18:23">
      <c r="R206">
        <v>228</v>
      </c>
      <c r="S206">
        <v>0.5</v>
      </c>
      <c r="T206">
        <v>0.25</v>
      </c>
      <c r="U206">
        <v>0.375</v>
      </c>
      <c r="V206">
        <f t="shared" si="7"/>
        <v>12.7</v>
      </c>
      <c r="W206" t="str">
        <f t="shared" si="8"/>
        <v>0.5" (12.7 mm)</v>
      </c>
    </row>
    <row r="207" spans="18:23">
      <c r="R207">
        <v>229</v>
      </c>
      <c r="S207">
        <v>0.5</v>
      </c>
      <c r="T207">
        <v>0.25</v>
      </c>
      <c r="U207">
        <v>0.375</v>
      </c>
      <c r="V207">
        <f t="shared" si="7"/>
        <v>12.7</v>
      </c>
      <c r="W207" t="str">
        <f t="shared" si="8"/>
        <v>0.5" (12.7 mm)</v>
      </c>
    </row>
    <row r="208" spans="18:23">
      <c r="R208">
        <v>230</v>
      </c>
      <c r="S208">
        <v>0.5</v>
      </c>
      <c r="T208">
        <v>0.25</v>
      </c>
      <c r="U208">
        <v>0.375</v>
      </c>
      <c r="V208">
        <f t="shared" si="7"/>
        <v>12.7</v>
      </c>
      <c r="W208" t="str">
        <f t="shared" si="8"/>
        <v>0.5" (12.7 mm)</v>
      </c>
    </row>
    <row r="209" spans="18:23">
      <c r="R209">
        <v>231</v>
      </c>
      <c r="S209">
        <v>0.5</v>
      </c>
      <c r="T209">
        <v>0.25</v>
      </c>
      <c r="U209">
        <v>0.375</v>
      </c>
      <c r="V209">
        <f t="shared" si="7"/>
        <v>12.7</v>
      </c>
      <c r="W209" t="str">
        <f t="shared" si="8"/>
        <v>0.5" (12.7 mm)</v>
      </c>
    </row>
    <row r="210" spans="18:23">
      <c r="R210">
        <v>232</v>
      </c>
      <c r="S210">
        <v>0.5</v>
      </c>
      <c r="T210">
        <v>0.25</v>
      </c>
      <c r="U210">
        <v>0.375</v>
      </c>
      <c r="V210">
        <f t="shared" si="7"/>
        <v>12.7</v>
      </c>
      <c r="W210" t="str">
        <f t="shared" si="8"/>
        <v>0.5" (12.7 mm)</v>
      </c>
    </row>
    <row r="211" spans="18:23">
      <c r="R211">
        <v>233</v>
      </c>
      <c r="S211">
        <v>0.5</v>
      </c>
      <c r="T211">
        <v>0.25</v>
      </c>
      <c r="U211">
        <v>0.375</v>
      </c>
      <c r="V211">
        <f t="shared" si="7"/>
        <v>12.7</v>
      </c>
      <c r="W211" t="str">
        <f t="shared" si="8"/>
        <v>0.5" (12.7 mm)</v>
      </c>
    </row>
    <row r="212" spans="18:23">
      <c r="R212">
        <v>234</v>
      </c>
      <c r="S212">
        <v>0.5</v>
      </c>
      <c r="T212">
        <v>0.25</v>
      </c>
      <c r="U212">
        <v>0.375</v>
      </c>
      <c r="V212">
        <f t="shared" si="7"/>
        <v>12.7</v>
      </c>
      <c r="W212" t="str">
        <f t="shared" si="8"/>
        <v>0.5" (12.7 mm)</v>
      </c>
    </row>
    <row r="213" spans="18:23">
      <c r="R213">
        <v>235</v>
      </c>
      <c r="S213">
        <v>0.5</v>
      </c>
      <c r="T213">
        <v>0.25</v>
      </c>
      <c r="U213">
        <v>0.375</v>
      </c>
      <c r="V213">
        <f t="shared" si="7"/>
        <v>12.7</v>
      </c>
      <c r="W213" t="str">
        <f t="shared" si="8"/>
        <v>0.5" (12.7 mm)</v>
      </c>
    </row>
    <row r="214" spans="18:23">
      <c r="R214">
        <v>236</v>
      </c>
      <c r="S214">
        <v>0.5</v>
      </c>
      <c r="T214">
        <v>0.25</v>
      </c>
      <c r="U214">
        <v>0.375</v>
      </c>
      <c r="V214">
        <f t="shared" si="7"/>
        <v>12.7</v>
      </c>
      <c r="W214" t="str">
        <f t="shared" si="8"/>
        <v>0.5" (12.7 mm)</v>
      </c>
    </row>
    <row r="215" spans="18:23">
      <c r="R215">
        <v>237</v>
      </c>
      <c r="S215">
        <v>0.5</v>
      </c>
      <c r="T215">
        <v>0.25</v>
      </c>
      <c r="U215">
        <v>0.375</v>
      </c>
      <c r="V215">
        <f t="shared" si="7"/>
        <v>12.7</v>
      </c>
      <c r="W215" t="str">
        <f t="shared" si="8"/>
        <v>0.5" (12.7 mm)</v>
      </c>
    </row>
    <row r="216" spans="18:23">
      <c r="R216">
        <v>238</v>
      </c>
      <c r="S216">
        <v>0.5</v>
      </c>
      <c r="T216">
        <v>0.25</v>
      </c>
      <c r="U216">
        <v>0.375</v>
      </c>
      <c r="V216">
        <f t="shared" si="7"/>
        <v>12.7</v>
      </c>
      <c r="W216" t="str">
        <f t="shared" si="8"/>
        <v>0.5" (12.7 mm)</v>
      </c>
    </row>
    <row r="217" spans="18:23">
      <c r="R217">
        <v>239</v>
      </c>
      <c r="S217">
        <v>0.5</v>
      </c>
      <c r="T217">
        <v>0.25</v>
      </c>
      <c r="U217">
        <v>0.375</v>
      </c>
      <c r="V217">
        <f t="shared" si="7"/>
        <v>12.7</v>
      </c>
      <c r="W217" t="str">
        <f t="shared" si="8"/>
        <v>0.5" (12.7 mm)</v>
      </c>
    </row>
    <row r="218" spans="18:23">
      <c r="R218">
        <v>240</v>
      </c>
      <c r="S218">
        <v>0.5</v>
      </c>
      <c r="T218">
        <v>0.25</v>
      </c>
      <c r="U218">
        <v>0.375</v>
      </c>
      <c r="V218">
        <f t="shared" si="7"/>
        <v>12.7</v>
      </c>
      <c r="W218" t="str">
        <f t="shared" si="8"/>
        <v>0.5" (12.7 mm)</v>
      </c>
    </row>
    <row r="219" spans="18:23">
      <c r="R219">
        <v>241</v>
      </c>
      <c r="S219">
        <v>0.5</v>
      </c>
      <c r="T219">
        <v>0.25</v>
      </c>
      <c r="U219">
        <v>0.375</v>
      </c>
      <c r="V219">
        <f t="shared" si="7"/>
        <v>12.7</v>
      </c>
      <c r="W219" t="str">
        <f t="shared" si="8"/>
        <v>0.5" (12.7 mm)</v>
      </c>
    </row>
    <row r="220" spans="18:23">
      <c r="R220">
        <v>242</v>
      </c>
      <c r="S220">
        <v>0.5</v>
      </c>
      <c r="T220">
        <v>0.25</v>
      </c>
      <c r="U220">
        <v>0.375</v>
      </c>
      <c r="V220">
        <f t="shared" si="7"/>
        <v>12.7</v>
      </c>
      <c r="W220" t="str">
        <f t="shared" si="8"/>
        <v>0.5" (12.7 mm)</v>
      </c>
    </row>
    <row r="221" spans="18:23">
      <c r="R221">
        <v>243</v>
      </c>
      <c r="S221">
        <v>0.5</v>
      </c>
      <c r="T221">
        <v>0.25</v>
      </c>
      <c r="U221">
        <v>0.375</v>
      </c>
      <c r="V221">
        <f t="shared" si="7"/>
        <v>12.7</v>
      </c>
      <c r="W221" t="str">
        <f t="shared" si="8"/>
        <v>0.5" (12.7 mm)</v>
      </c>
    </row>
    <row r="222" spans="18:23">
      <c r="R222">
        <v>244</v>
      </c>
      <c r="S222">
        <v>0.5</v>
      </c>
      <c r="T222">
        <v>0.25</v>
      </c>
      <c r="U222">
        <v>0.375</v>
      </c>
      <c r="V222">
        <f t="shared" si="7"/>
        <v>12.7</v>
      </c>
      <c r="W222" t="str">
        <f t="shared" si="8"/>
        <v>0.5" (12.7 mm)</v>
      </c>
    </row>
    <row r="223" spans="18:23">
      <c r="R223">
        <v>245</v>
      </c>
      <c r="S223">
        <v>0.5</v>
      </c>
      <c r="T223">
        <v>0.25</v>
      </c>
      <c r="U223">
        <v>0.375</v>
      </c>
      <c r="V223">
        <f t="shared" si="7"/>
        <v>12.7</v>
      </c>
      <c r="W223" t="str">
        <f t="shared" si="8"/>
        <v>0.5" (12.7 mm)</v>
      </c>
    </row>
    <row r="224" spans="18:23">
      <c r="R224">
        <v>246</v>
      </c>
      <c r="S224">
        <v>0.5</v>
      </c>
      <c r="T224">
        <v>0.25</v>
      </c>
      <c r="U224">
        <v>0.375</v>
      </c>
      <c r="V224">
        <f t="shared" si="7"/>
        <v>12.7</v>
      </c>
      <c r="W224" t="str">
        <f t="shared" si="8"/>
        <v>0.5" (12.7 mm)</v>
      </c>
    </row>
    <row r="225" spans="18:23">
      <c r="R225">
        <v>247</v>
      </c>
      <c r="S225">
        <v>0.5</v>
      </c>
      <c r="T225">
        <v>0.25</v>
      </c>
      <c r="U225">
        <v>0.375</v>
      </c>
      <c r="V225">
        <f t="shared" si="7"/>
        <v>12.7</v>
      </c>
      <c r="W225" t="str">
        <f t="shared" si="8"/>
        <v>0.5" (12.7 mm)</v>
      </c>
    </row>
    <row r="226" spans="18:23">
      <c r="R226">
        <v>248</v>
      </c>
      <c r="S226">
        <v>0.5</v>
      </c>
      <c r="T226">
        <v>0.25</v>
      </c>
      <c r="U226">
        <v>0.375</v>
      </c>
      <c r="V226">
        <f t="shared" si="7"/>
        <v>12.7</v>
      </c>
      <c r="W226" t="str">
        <f t="shared" si="8"/>
        <v>0.5" (12.7 mm)</v>
      </c>
    </row>
    <row r="227" spans="18:23">
      <c r="R227">
        <v>249</v>
      </c>
      <c r="S227">
        <v>0.5</v>
      </c>
      <c r="T227">
        <v>0.25</v>
      </c>
      <c r="U227">
        <v>0.375</v>
      </c>
      <c r="V227">
        <f t="shared" si="7"/>
        <v>12.7</v>
      </c>
      <c r="W227" t="str">
        <f t="shared" si="8"/>
        <v>0.5" (12.7 mm)</v>
      </c>
    </row>
    <row r="228" spans="18:23">
      <c r="R228">
        <v>250</v>
      </c>
      <c r="S228">
        <v>0.5</v>
      </c>
      <c r="T228">
        <v>0.25</v>
      </c>
      <c r="U228">
        <v>0.375</v>
      </c>
      <c r="V228">
        <f t="shared" si="7"/>
        <v>12.7</v>
      </c>
      <c r="W228" t="str">
        <f t="shared" si="8"/>
        <v>0.5" (12.7 mm)</v>
      </c>
    </row>
    <row r="229" spans="18:23">
      <c r="R229">
        <v>251</v>
      </c>
      <c r="S229">
        <v>0.5</v>
      </c>
      <c r="T229">
        <v>0.25</v>
      </c>
      <c r="U229">
        <v>0.375</v>
      </c>
      <c r="V229">
        <f t="shared" si="7"/>
        <v>12.7</v>
      </c>
      <c r="W229" t="str">
        <f t="shared" si="8"/>
        <v>0.5" (12.7 mm)</v>
      </c>
    </row>
    <row r="230" spans="18:23">
      <c r="R230">
        <v>252</v>
      </c>
      <c r="S230">
        <v>0.5</v>
      </c>
      <c r="T230">
        <v>0.25</v>
      </c>
      <c r="U230">
        <v>0.375</v>
      </c>
      <c r="V230">
        <f t="shared" si="7"/>
        <v>12.7</v>
      </c>
      <c r="W230" t="str">
        <f t="shared" si="8"/>
        <v>0.5" (12.7 mm)</v>
      </c>
    </row>
    <row r="231" spans="18:23">
      <c r="R231">
        <v>253</v>
      </c>
      <c r="S231">
        <v>0.5</v>
      </c>
      <c r="T231">
        <v>0.25</v>
      </c>
      <c r="U231">
        <v>0.375</v>
      </c>
      <c r="V231">
        <f t="shared" si="7"/>
        <v>12.7</v>
      </c>
      <c r="W231" t="str">
        <f t="shared" si="8"/>
        <v>0.5" (12.7 mm)</v>
      </c>
    </row>
    <row r="232" spans="18:23">
      <c r="R232">
        <v>254</v>
      </c>
      <c r="S232">
        <v>0.5</v>
      </c>
      <c r="T232">
        <v>0.25</v>
      </c>
      <c r="U232">
        <v>0.375</v>
      </c>
      <c r="V232">
        <f t="shared" si="7"/>
        <v>12.7</v>
      </c>
      <c r="W232" t="str">
        <f t="shared" si="8"/>
        <v>0.5" (12.7 mm)</v>
      </c>
    </row>
    <row r="233" spans="18:23">
      <c r="R233">
        <v>255</v>
      </c>
      <c r="S233">
        <v>0.5</v>
      </c>
      <c r="T233">
        <v>0.25</v>
      </c>
      <c r="U233">
        <v>0.375</v>
      </c>
      <c r="V233">
        <f t="shared" si="7"/>
        <v>12.7</v>
      </c>
      <c r="W233" t="str">
        <f t="shared" si="8"/>
        <v>0.5" (12.7 mm)</v>
      </c>
    </row>
    <row r="234" spans="18:23">
      <c r="R234">
        <v>256</v>
      </c>
      <c r="S234">
        <v>0.5</v>
      </c>
      <c r="T234">
        <v>0.25</v>
      </c>
      <c r="U234">
        <v>0.375</v>
      </c>
      <c r="V234">
        <f t="shared" si="7"/>
        <v>12.7</v>
      </c>
      <c r="W234" t="str">
        <f t="shared" si="8"/>
        <v>0.5" (12.7 mm)</v>
      </c>
    </row>
    <row r="235" spans="18:23">
      <c r="R235">
        <v>257</v>
      </c>
      <c r="S235">
        <v>0.5</v>
      </c>
      <c r="T235">
        <v>0.25</v>
      </c>
      <c r="U235">
        <v>0.375</v>
      </c>
      <c r="V235">
        <f t="shared" si="7"/>
        <v>12.7</v>
      </c>
      <c r="W235" t="str">
        <f t="shared" si="8"/>
        <v>0.5" (12.7 mm)</v>
      </c>
    </row>
    <row r="236" spans="18:23">
      <c r="R236">
        <v>258</v>
      </c>
      <c r="S236">
        <v>0.5</v>
      </c>
      <c r="T236">
        <v>0.25</v>
      </c>
      <c r="U236">
        <v>0.375</v>
      </c>
      <c r="V236">
        <f t="shared" si="7"/>
        <v>12.7</v>
      </c>
      <c r="W236" t="str">
        <f t="shared" si="8"/>
        <v>0.5" (12.7 mm)</v>
      </c>
    </row>
    <row r="237" spans="18:23">
      <c r="R237">
        <v>259</v>
      </c>
      <c r="S237">
        <v>0.5</v>
      </c>
      <c r="T237">
        <v>0.25</v>
      </c>
      <c r="U237">
        <v>0.375</v>
      </c>
      <c r="V237">
        <f t="shared" si="7"/>
        <v>12.7</v>
      </c>
      <c r="W237" t="str">
        <f t="shared" si="8"/>
        <v>0.5" (12.7 mm)</v>
      </c>
    </row>
    <row r="238" spans="18:23">
      <c r="R238">
        <v>260</v>
      </c>
      <c r="S238">
        <v>0.5</v>
      </c>
      <c r="T238">
        <v>0.25</v>
      </c>
      <c r="U238">
        <v>0.375</v>
      </c>
      <c r="V238">
        <f t="shared" si="7"/>
        <v>12.7</v>
      </c>
      <c r="W238" t="str">
        <f t="shared" si="8"/>
        <v>0.5" (12.7 mm)</v>
      </c>
    </row>
    <row r="239" spans="18:23">
      <c r="R239">
        <v>261</v>
      </c>
      <c r="S239">
        <v>0.5</v>
      </c>
      <c r="T239">
        <v>0.25</v>
      </c>
      <c r="U239">
        <v>0.375</v>
      </c>
      <c r="V239">
        <f t="shared" si="7"/>
        <v>12.7</v>
      </c>
      <c r="W239" t="str">
        <f t="shared" si="8"/>
        <v>0.5" (12.7 mm)</v>
      </c>
    </row>
    <row r="240" spans="18:23">
      <c r="R240">
        <v>262</v>
      </c>
      <c r="S240">
        <v>0.5</v>
      </c>
      <c r="T240">
        <v>0.25</v>
      </c>
      <c r="U240">
        <v>0.375</v>
      </c>
      <c r="V240">
        <f t="shared" si="7"/>
        <v>12.7</v>
      </c>
      <c r="W240" t="str">
        <f t="shared" si="8"/>
        <v>0.5" (12.7 mm)</v>
      </c>
    </row>
    <row r="241" spans="18:23">
      <c r="R241">
        <v>263</v>
      </c>
      <c r="S241">
        <v>0.5</v>
      </c>
      <c r="T241">
        <v>0.25</v>
      </c>
      <c r="U241">
        <v>0.375</v>
      </c>
      <c r="V241">
        <f t="shared" si="7"/>
        <v>12.7</v>
      </c>
      <c r="W241" t="str">
        <f t="shared" si="8"/>
        <v>0.5" (12.7 mm)</v>
      </c>
    </row>
    <row r="242" spans="18:23">
      <c r="R242">
        <v>264</v>
      </c>
      <c r="S242">
        <v>0.5</v>
      </c>
      <c r="T242">
        <v>0.25</v>
      </c>
      <c r="U242">
        <v>0.375</v>
      </c>
      <c r="V242">
        <f t="shared" si="7"/>
        <v>12.7</v>
      </c>
      <c r="W242" t="str">
        <f t="shared" si="8"/>
        <v>0.5" (12.7 mm)</v>
      </c>
    </row>
    <row r="243" spans="18:23">
      <c r="R243">
        <v>265</v>
      </c>
      <c r="S243">
        <v>0.5</v>
      </c>
      <c r="T243">
        <v>0.25</v>
      </c>
      <c r="U243">
        <v>0.375</v>
      </c>
      <c r="V243">
        <f t="shared" si="7"/>
        <v>12.7</v>
      </c>
      <c r="W243" t="str">
        <f t="shared" si="8"/>
        <v>0.5" (12.7 mm)</v>
      </c>
    </row>
    <row r="244" spans="18:23">
      <c r="R244">
        <v>266</v>
      </c>
      <c r="S244">
        <v>0.5</v>
      </c>
      <c r="T244">
        <v>0.25</v>
      </c>
      <c r="U244">
        <v>0.375</v>
      </c>
      <c r="V244">
        <f t="shared" si="7"/>
        <v>12.7</v>
      </c>
      <c r="W244" t="str">
        <f t="shared" si="8"/>
        <v>0.5" (12.7 mm)</v>
      </c>
    </row>
    <row r="245" spans="18:23">
      <c r="R245">
        <v>267</v>
      </c>
      <c r="S245">
        <v>0.5</v>
      </c>
      <c r="T245">
        <v>0.25</v>
      </c>
      <c r="U245">
        <v>0.375</v>
      </c>
      <c r="V245">
        <f t="shared" si="7"/>
        <v>12.7</v>
      </c>
      <c r="W245" t="str">
        <f t="shared" si="8"/>
        <v>0.5" (12.7 mm)</v>
      </c>
    </row>
    <row r="246" spans="18:23">
      <c r="R246">
        <v>268</v>
      </c>
      <c r="S246">
        <v>0.5</v>
      </c>
      <c r="T246">
        <v>0.25</v>
      </c>
      <c r="U246">
        <v>0.375</v>
      </c>
      <c r="V246">
        <f t="shared" si="7"/>
        <v>12.7</v>
      </c>
      <c r="W246" t="str">
        <f t="shared" si="8"/>
        <v>0.5" (12.7 mm)</v>
      </c>
    </row>
    <row r="247" spans="18:23">
      <c r="R247">
        <v>269</v>
      </c>
      <c r="S247">
        <v>0.5</v>
      </c>
      <c r="T247">
        <v>0.25</v>
      </c>
      <c r="U247">
        <v>0.375</v>
      </c>
      <c r="V247">
        <f t="shared" si="7"/>
        <v>12.7</v>
      </c>
      <c r="W247" t="str">
        <f t="shared" si="8"/>
        <v>0.5" (12.7 mm)</v>
      </c>
    </row>
    <row r="248" spans="18:23">
      <c r="R248">
        <v>270</v>
      </c>
      <c r="S248">
        <v>0.5</v>
      </c>
      <c r="T248">
        <v>0.25</v>
      </c>
      <c r="U248">
        <v>0.375</v>
      </c>
      <c r="V248">
        <f t="shared" si="7"/>
        <v>12.7</v>
      </c>
      <c r="W248" t="str">
        <f t="shared" si="8"/>
        <v>0.5" (12.7 mm)</v>
      </c>
    </row>
    <row r="249" spans="18:23">
      <c r="R249">
        <v>271</v>
      </c>
      <c r="S249">
        <v>0.5</v>
      </c>
      <c r="T249">
        <v>0.25</v>
      </c>
      <c r="U249">
        <v>0.375</v>
      </c>
      <c r="V249">
        <f t="shared" si="7"/>
        <v>12.7</v>
      </c>
      <c r="W249" t="str">
        <f t="shared" si="8"/>
        <v>0.5" (12.7 mm)</v>
      </c>
    </row>
    <row r="250" spans="18:23">
      <c r="R250">
        <v>272</v>
      </c>
      <c r="S250">
        <v>0.5</v>
      </c>
      <c r="T250">
        <v>0.25</v>
      </c>
      <c r="U250">
        <v>0.375</v>
      </c>
      <c r="V250">
        <f t="shared" si="7"/>
        <v>12.7</v>
      </c>
      <c r="W250" t="str">
        <f t="shared" si="8"/>
        <v>0.5" (12.7 mm)</v>
      </c>
    </row>
    <row r="251" spans="18:23">
      <c r="R251">
        <v>273</v>
      </c>
      <c r="S251">
        <v>0.5</v>
      </c>
      <c r="T251">
        <v>0.25</v>
      </c>
      <c r="U251">
        <v>0.375</v>
      </c>
      <c r="V251">
        <f t="shared" si="7"/>
        <v>12.7</v>
      </c>
      <c r="W251" t="str">
        <f t="shared" si="8"/>
        <v>0.5" (12.7 mm)</v>
      </c>
    </row>
    <row r="252" spans="18:23">
      <c r="R252">
        <v>274</v>
      </c>
      <c r="S252">
        <v>0.5</v>
      </c>
      <c r="T252">
        <v>0.25</v>
      </c>
      <c r="U252">
        <v>0.375</v>
      </c>
      <c r="V252">
        <f t="shared" si="7"/>
        <v>12.7</v>
      </c>
      <c r="W252" t="str">
        <f t="shared" si="8"/>
        <v>0.5" (12.7 mm)</v>
      </c>
    </row>
    <row r="253" spans="18:23">
      <c r="R253">
        <v>275</v>
      </c>
      <c r="S253">
        <v>0.5</v>
      </c>
      <c r="T253">
        <v>0.25</v>
      </c>
      <c r="U253">
        <v>0.375</v>
      </c>
      <c r="V253">
        <f t="shared" si="7"/>
        <v>12.7</v>
      </c>
      <c r="W253" t="str">
        <f t="shared" si="8"/>
        <v>0.5" (12.7 mm)</v>
      </c>
    </row>
    <row r="254" spans="18:23">
      <c r="R254">
        <v>276</v>
      </c>
      <c r="S254">
        <v>0.5</v>
      </c>
      <c r="T254">
        <v>0.25</v>
      </c>
      <c r="U254">
        <v>0.375</v>
      </c>
      <c r="V254">
        <f t="shared" si="7"/>
        <v>12.7</v>
      </c>
      <c r="W254" t="str">
        <f t="shared" si="8"/>
        <v>0.5" (12.7 mm)</v>
      </c>
    </row>
    <row r="255" spans="18:23">
      <c r="R255">
        <v>277</v>
      </c>
      <c r="S255">
        <v>0.5</v>
      </c>
      <c r="T255">
        <v>0.25</v>
      </c>
      <c r="U255">
        <v>0.375</v>
      </c>
      <c r="V255">
        <f t="shared" si="7"/>
        <v>12.7</v>
      </c>
      <c r="W255" t="str">
        <f t="shared" si="8"/>
        <v>0.5" (12.7 mm)</v>
      </c>
    </row>
    <row r="256" spans="18:23">
      <c r="R256">
        <v>278</v>
      </c>
      <c r="S256">
        <v>0.5</v>
      </c>
      <c r="T256">
        <v>0.25</v>
      </c>
      <c r="U256">
        <v>0.375</v>
      </c>
      <c r="V256">
        <f t="shared" si="7"/>
        <v>12.7</v>
      </c>
      <c r="W256" t="str">
        <f t="shared" si="8"/>
        <v>0.5" (12.7 mm)</v>
      </c>
    </row>
    <row r="257" spans="18:23">
      <c r="R257">
        <v>279</v>
      </c>
      <c r="S257">
        <v>0.5</v>
      </c>
      <c r="T257">
        <v>0.25</v>
      </c>
      <c r="U257">
        <v>0.375</v>
      </c>
      <c r="V257">
        <f t="shared" si="7"/>
        <v>12.7</v>
      </c>
      <c r="W257" t="str">
        <f t="shared" si="8"/>
        <v>0.5" (12.7 mm)</v>
      </c>
    </row>
    <row r="258" spans="18:23">
      <c r="R258">
        <v>280</v>
      </c>
      <c r="S258">
        <v>0.5</v>
      </c>
      <c r="T258">
        <v>0.25</v>
      </c>
      <c r="U258">
        <v>0.375</v>
      </c>
      <c r="V258">
        <f t="shared" ref="V258:V321" si="9">ROUND(S258*mm, 5)</f>
        <v>12.7</v>
      </c>
      <c r="W258" t="str">
        <f t="shared" si="8"/>
        <v>0.5" (12.7 mm)</v>
      </c>
    </row>
    <row r="259" spans="18:23">
      <c r="R259">
        <v>281</v>
      </c>
      <c r="S259">
        <v>0.5</v>
      </c>
      <c r="T259">
        <v>0.25</v>
      </c>
      <c r="U259">
        <v>0.375</v>
      </c>
      <c r="V259">
        <f t="shared" si="9"/>
        <v>12.7</v>
      </c>
      <c r="W259" t="str">
        <f t="shared" ref="W259:W322" si="10">S259&amp;""""&amp;" ("&amp;V259&amp;" mm)"</f>
        <v>0.5" (12.7 mm)</v>
      </c>
    </row>
    <row r="260" spans="18:23">
      <c r="R260">
        <v>282</v>
      </c>
      <c r="S260">
        <v>0.5</v>
      </c>
      <c r="T260">
        <v>0.25</v>
      </c>
      <c r="U260">
        <v>0.375</v>
      </c>
      <c r="V260">
        <f t="shared" si="9"/>
        <v>12.7</v>
      </c>
      <c r="W260" t="str">
        <f t="shared" si="10"/>
        <v>0.5" (12.7 mm)</v>
      </c>
    </row>
    <row r="261" spans="18:23">
      <c r="R261">
        <v>283</v>
      </c>
      <c r="S261">
        <v>0.5</v>
      </c>
      <c r="T261">
        <v>0.25</v>
      </c>
      <c r="U261">
        <v>0.375</v>
      </c>
      <c r="V261">
        <f t="shared" si="9"/>
        <v>12.7</v>
      </c>
      <c r="W261" t="str">
        <f t="shared" si="10"/>
        <v>0.5" (12.7 mm)</v>
      </c>
    </row>
    <row r="262" spans="18:23">
      <c r="R262">
        <v>284</v>
      </c>
      <c r="S262">
        <v>0.5</v>
      </c>
      <c r="T262">
        <v>0.25</v>
      </c>
      <c r="U262">
        <v>0.375</v>
      </c>
      <c r="V262">
        <f t="shared" si="9"/>
        <v>12.7</v>
      </c>
      <c r="W262" t="str">
        <f t="shared" si="10"/>
        <v>0.5" (12.7 mm)</v>
      </c>
    </row>
    <row r="263" spans="18:23">
      <c r="R263">
        <v>285</v>
      </c>
      <c r="S263">
        <v>0.5</v>
      </c>
      <c r="T263">
        <v>0.25</v>
      </c>
      <c r="U263">
        <v>0.375</v>
      </c>
      <c r="V263">
        <f t="shared" si="9"/>
        <v>12.7</v>
      </c>
      <c r="W263" t="str">
        <f t="shared" si="10"/>
        <v>0.5" (12.7 mm)</v>
      </c>
    </row>
    <row r="264" spans="18:23">
      <c r="R264">
        <v>286</v>
      </c>
      <c r="S264">
        <v>0.5</v>
      </c>
      <c r="T264">
        <v>0.25</v>
      </c>
      <c r="U264">
        <v>0.375</v>
      </c>
      <c r="V264">
        <f t="shared" si="9"/>
        <v>12.7</v>
      </c>
      <c r="W264" t="str">
        <f t="shared" si="10"/>
        <v>0.5" (12.7 mm)</v>
      </c>
    </row>
    <row r="265" spans="18:23">
      <c r="R265">
        <v>287</v>
      </c>
      <c r="S265">
        <v>0.5</v>
      </c>
      <c r="T265">
        <v>0.25</v>
      </c>
      <c r="U265">
        <v>0.375</v>
      </c>
      <c r="V265">
        <f t="shared" si="9"/>
        <v>12.7</v>
      </c>
      <c r="W265" t="str">
        <f t="shared" si="10"/>
        <v>0.5" (12.7 mm)</v>
      </c>
    </row>
    <row r="266" spans="18:23">
      <c r="R266">
        <v>288</v>
      </c>
      <c r="S266">
        <v>0.5</v>
      </c>
      <c r="T266">
        <v>0.25</v>
      </c>
      <c r="U266">
        <v>0.375</v>
      </c>
      <c r="V266">
        <f t="shared" si="9"/>
        <v>12.7</v>
      </c>
      <c r="W266" t="str">
        <f t="shared" si="10"/>
        <v>0.5" (12.7 mm)</v>
      </c>
    </row>
    <row r="267" spans="18:23">
      <c r="R267">
        <v>289</v>
      </c>
      <c r="S267">
        <v>0.5</v>
      </c>
      <c r="T267">
        <v>0.25</v>
      </c>
      <c r="U267">
        <v>0.375</v>
      </c>
      <c r="V267">
        <f t="shared" si="9"/>
        <v>12.7</v>
      </c>
      <c r="W267" t="str">
        <f t="shared" si="10"/>
        <v>0.5" (12.7 mm)</v>
      </c>
    </row>
    <row r="268" spans="18:23">
      <c r="R268">
        <v>290</v>
      </c>
      <c r="S268">
        <v>0.5</v>
      </c>
      <c r="T268">
        <v>0.25</v>
      </c>
      <c r="U268">
        <v>0.375</v>
      </c>
      <c r="V268">
        <f t="shared" si="9"/>
        <v>12.7</v>
      </c>
      <c r="W268" t="str">
        <f t="shared" si="10"/>
        <v>0.5" (12.7 mm)</v>
      </c>
    </row>
    <row r="269" spans="18:23">
      <c r="R269">
        <v>291</v>
      </c>
      <c r="S269">
        <v>0.5</v>
      </c>
      <c r="T269">
        <v>0.25</v>
      </c>
      <c r="U269">
        <v>0.375</v>
      </c>
      <c r="V269">
        <f t="shared" si="9"/>
        <v>12.7</v>
      </c>
      <c r="W269" t="str">
        <f t="shared" si="10"/>
        <v>0.5" (12.7 mm)</v>
      </c>
    </row>
    <row r="270" spans="18:23">
      <c r="R270">
        <v>292</v>
      </c>
      <c r="S270">
        <v>0.5</v>
      </c>
      <c r="T270">
        <v>0.25</v>
      </c>
      <c r="U270">
        <v>0.375</v>
      </c>
      <c r="V270">
        <f t="shared" si="9"/>
        <v>12.7</v>
      </c>
      <c r="W270" t="str">
        <f t="shared" si="10"/>
        <v>0.5" (12.7 mm)</v>
      </c>
    </row>
    <row r="271" spans="18:23">
      <c r="R271">
        <v>293</v>
      </c>
      <c r="S271">
        <v>0.5</v>
      </c>
      <c r="T271">
        <v>0.25</v>
      </c>
      <c r="U271">
        <v>0.375</v>
      </c>
      <c r="V271">
        <f t="shared" si="9"/>
        <v>12.7</v>
      </c>
      <c r="W271" t="str">
        <f t="shared" si="10"/>
        <v>0.5" (12.7 mm)</v>
      </c>
    </row>
    <row r="272" spans="18:23">
      <c r="R272">
        <v>294</v>
      </c>
      <c r="S272">
        <v>0.5</v>
      </c>
      <c r="T272">
        <v>0.25</v>
      </c>
      <c r="U272">
        <v>0.375</v>
      </c>
      <c r="V272">
        <f t="shared" si="9"/>
        <v>12.7</v>
      </c>
      <c r="W272" t="str">
        <f t="shared" si="10"/>
        <v>0.5" (12.7 mm)</v>
      </c>
    </row>
    <row r="273" spans="18:23">
      <c r="R273">
        <v>295</v>
      </c>
      <c r="S273">
        <v>0.5</v>
      </c>
      <c r="T273">
        <v>0.25</v>
      </c>
      <c r="U273">
        <v>0.375</v>
      </c>
      <c r="V273">
        <f t="shared" si="9"/>
        <v>12.7</v>
      </c>
      <c r="W273" t="str">
        <f t="shared" si="10"/>
        <v>0.5" (12.7 mm)</v>
      </c>
    </row>
    <row r="274" spans="18:23">
      <c r="R274">
        <v>296</v>
      </c>
      <c r="S274">
        <v>0.5</v>
      </c>
      <c r="T274">
        <v>0.25</v>
      </c>
      <c r="U274">
        <v>0.375</v>
      </c>
      <c r="V274">
        <f t="shared" si="9"/>
        <v>12.7</v>
      </c>
      <c r="W274" t="str">
        <f t="shared" si="10"/>
        <v>0.5" (12.7 mm)</v>
      </c>
    </row>
    <row r="275" spans="18:23">
      <c r="R275">
        <v>297</v>
      </c>
      <c r="S275">
        <v>0.5</v>
      </c>
      <c r="T275">
        <v>0.25</v>
      </c>
      <c r="U275">
        <v>0.375</v>
      </c>
      <c r="V275">
        <f t="shared" si="9"/>
        <v>12.7</v>
      </c>
      <c r="W275" t="str">
        <f t="shared" si="10"/>
        <v>0.5" (12.7 mm)</v>
      </c>
    </row>
    <row r="276" spans="18:23">
      <c r="R276">
        <v>298</v>
      </c>
      <c r="S276">
        <v>0.5</v>
      </c>
      <c r="T276">
        <v>0.25</v>
      </c>
      <c r="U276">
        <v>0.375</v>
      </c>
      <c r="V276">
        <f t="shared" si="9"/>
        <v>12.7</v>
      </c>
      <c r="W276" t="str">
        <f t="shared" si="10"/>
        <v>0.5" (12.7 mm)</v>
      </c>
    </row>
    <row r="277" spans="18:23">
      <c r="R277">
        <v>299</v>
      </c>
      <c r="S277">
        <v>0.5</v>
      </c>
      <c r="T277">
        <v>0.25</v>
      </c>
      <c r="U277">
        <v>0.375</v>
      </c>
      <c r="V277">
        <f t="shared" si="9"/>
        <v>12.7</v>
      </c>
      <c r="W277" t="str">
        <f t="shared" si="10"/>
        <v>0.5" (12.7 mm)</v>
      </c>
    </row>
    <row r="278" spans="18:23">
      <c r="R278">
        <v>300</v>
      </c>
      <c r="S278">
        <v>0.5</v>
      </c>
      <c r="T278">
        <v>0.25</v>
      </c>
      <c r="U278">
        <v>0.375</v>
      </c>
      <c r="V278">
        <f t="shared" si="9"/>
        <v>12.7</v>
      </c>
      <c r="W278" t="str">
        <f t="shared" si="10"/>
        <v>0.5" (12.7 mm)</v>
      </c>
    </row>
    <row r="279" spans="18:23">
      <c r="R279">
        <v>301</v>
      </c>
      <c r="S279">
        <v>0.625</v>
      </c>
      <c r="T279">
        <v>0.25</v>
      </c>
      <c r="U279">
        <v>0.375</v>
      </c>
      <c r="V279">
        <f t="shared" si="9"/>
        <v>15.875</v>
      </c>
      <c r="W279" t="str">
        <f t="shared" si="10"/>
        <v>0.625" (15.875 mm)</v>
      </c>
    </row>
    <row r="280" spans="18:23">
      <c r="R280">
        <v>302</v>
      </c>
      <c r="S280">
        <v>0.625</v>
      </c>
      <c r="T280">
        <v>0.25</v>
      </c>
      <c r="U280">
        <v>0.375</v>
      </c>
      <c r="V280">
        <f t="shared" si="9"/>
        <v>15.875</v>
      </c>
      <c r="W280" t="str">
        <f t="shared" si="10"/>
        <v>0.625" (15.875 mm)</v>
      </c>
    </row>
    <row r="281" spans="18:23">
      <c r="R281">
        <v>303</v>
      </c>
      <c r="S281">
        <v>0.625</v>
      </c>
      <c r="T281">
        <v>0.25</v>
      </c>
      <c r="U281">
        <v>0.375</v>
      </c>
      <c r="V281">
        <f t="shared" si="9"/>
        <v>15.875</v>
      </c>
      <c r="W281" t="str">
        <f t="shared" si="10"/>
        <v>0.625" (15.875 mm)</v>
      </c>
    </row>
    <row r="282" spans="18:23">
      <c r="R282">
        <v>304</v>
      </c>
      <c r="S282">
        <v>0.625</v>
      </c>
      <c r="T282">
        <v>0.25</v>
      </c>
      <c r="U282">
        <v>0.375</v>
      </c>
      <c r="V282">
        <f t="shared" si="9"/>
        <v>15.875</v>
      </c>
      <c r="W282" t="str">
        <f t="shared" si="10"/>
        <v>0.625" (15.875 mm)</v>
      </c>
    </row>
    <row r="283" spans="18:23">
      <c r="R283">
        <v>305</v>
      </c>
      <c r="S283">
        <v>0.625</v>
      </c>
      <c r="T283">
        <v>0.25</v>
      </c>
      <c r="U283">
        <v>0.375</v>
      </c>
      <c r="V283">
        <f t="shared" si="9"/>
        <v>15.875</v>
      </c>
      <c r="W283" t="str">
        <f t="shared" si="10"/>
        <v>0.625" (15.875 mm)</v>
      </c>
    </row>
    <row r="284" spans="18:23">
      <c r="R284">
        <v>306</v>
      </c>
      <c r="S284">
        <v>0.625</v>
      </c>
      <c r="T284">
        <v>0.25</v>
      </c>
      <c r="U284">
        <v>0.375</v>
      </c>
      <c r="V284">
        <f t="shared" si="9"/>
        <v>15.875</v>
      </c>
      <c r="W284" t="str">
        <f t="shared" si="10"/>
        <v>0.625" (15.875 mm)</v>
      </c>
    </row>
    <row r="285" spans="18:23">
      <c r="R285">
        <v>307</v>
      </c>
      <c r="S285">
        <v>0.625</v>
      </c>
      <c r="T285">
        <v>0.25</v>
      </c>
      <c r="U285">
        <v>0.375</v>
      </c>
      <c r="V285">
        <f t="shared" si="9"/>
        <v>15.875</v>
      </c>
      <c r="W285" t="str">
        <f t="shared" si="10"/>
        <v>0.625" (15.875 mm)</v>
      </c>
    </row>
    <row r="286" spans="18:23">
      <c r="R286">
        <v>308</v>
      </c>
      <c r="S286">
        <v>0.625</v>
      </c>
      <c r="T286">
        <v>0.25</v>
      </c>
      <c r="U286">
        <v>0.375</v>
      </c>
      <c r="V286">
        <f t="shared" si="9"/>
        <v>15.875</v>
      </c>
      <c r="W286" t="str">
        <f t="shared" si="10"/>
        <v>0.625" (15.875 mm)</v>
      </c>
    </row>
    <row r="287" spans="18:23">
      <c r="R287">
        <v>309</v>
      </c>
      <c r="S287">
        <v>0.625</v>
      </c>
      <c r="T287">
        <v>0.25</v>
      </c>
      <c r="U287">
        <v>0.375</v>
      </c>
      <c r="V287">
        <f t="shared" si="9"/>
        <v>15.875</v>
      </c>
      <c r="W287" t="str">
        <f t="shared" si="10"/>
        <v>0.625" (15.875 mm)</v>
      </c>
    </row>
    <row r="288" spans="18:23">
      <c r="R288">
        <v>310</v>
      </c>
      <c r="S288">
        <v>0.625</v>
      </c>
      <c r="T288">
        <v>0.25</v>
      </c>
      <c r="U288">
        <v>0.375</v>
      </c>
      <c r="V288">
        <f t="shared" si="9"/>
        <v>15.875</v>
      </c>
      <c r="W288" t="str">
        <f t="shared" si="10"/>
        <v>0.625" (15.875 mm)</v>
      </c>
    </row>
    <row r="289" spans="18:23">
      <c r="R289">
        <v>311</v>
      </c>
      <c r="S289">
        <v>0.625</v>
      </c>
      <c r="T289">
        <v>0.25</v>
      </c>
      <c r="U289">
        <v>0.375</v>
      </c>
      <c r="V289">
        <f t="shared" si="9"/>
        <v>15.875</v>
      </c>
      <c r="W289" t="str">
        <f t="shared" si="10"/>
        <v>0.625" (15.875 mm)</v>
      </c>
    </row>
    <row r="290" spans="18:23">
      <c r="R290">
        <v>312</v>
      </c>
      <c r="S290">
        <v>0.625</v>
      </c>
      <c r="T290">
        <v>0.25</v>
      </c>
      <c r="U290">
        <v>0.375</v>
      </c>
      <c r="V290">
        <f t="shared" si="9"/>
        <v>15.875</v>
      </c>
      <c r="W290" t="str">
        <f t="shared" si="10"/>
        <v>0.625" (15.875 mm)</v>
      </c>
    </row>
    <row r="291" spans="18:23">
      <c r="R291">
        <v>313</v>
      </c>
      <c r="S291">
        <v>0.625</v>
      </c>
      <c r="T291">
        <v>0.25</v>
      </c>
      <c r="U291">
        <v>0.375</v>
      </c>
      <c r="V291">
        <f t="shared" si="9"/>
        <v>15.875</v>
      </c>
      <c r="W291" t="str">
        <f t="shared" si="10"/>
        <v>0.625" (15.875 mm)</v>
      </c>
    </row>
    <row r="292" spans="18:23">
      <c r="R292">
        <v>314</v>
      </c>
      <c r="S292">
        <v>0.625</v>
      </c>
      <c r="T292">
        <v>0.25</v>
      </c>
      <c r="U292">
        <v>0.375</v>
      </c>
      <c r="V292">
        <f t="shared" si="9"/>
        <v>15.875</v>
      </c>
      <c r="W292" t="str">
        <f t="shared" si="10"/>
        <v>0.625" (15.875 mm)</v>
      </c>
    </row>
    <row r="293" spans="18:23">
      <c r="R293">
        <v>315</v>
      </c>
      <c r="S293">
        <v>0.625</v>
      </c>
      <c r="T293">
        <v>0.25</v>
      </c>
      <c r="U293">
        <v>0.375</v>
      </c>
      <c r="V293">
        <f t="shared" si="9"/>
        <v>15.875</v>
      </c>
      <c r="W293" t="str">
        <f t="shared" si="10"/>
        <v>0.625" (15.875 mm)</v>
      </c>
    </row>
    <row r="294" spans="18:23">
      <c r="R294">
        <v>316</v>
      </c>
      <c r="S294">
        <v>0.625</v>
      </c>
      <c r="T294">
        <v>0.25</v>
      </c>
      <c r="U294">
        <v>0.375</v>
      </c>
      <c r="V294">
        <f t="shared" si="9"/>
        <v>15.875</v>
      </c>
      <c r="W294" t="str">
        <f t="shared" si="10"/>
        <v>0.625" (15.875 mm)</v>
      </c>
    </row>
    <row r="295" spans="18:23">
      <c r="R295">
        <v>317</v>
      </c>
      <c r="S295">
        <v>0.625</v>
      </c>
      <c r="T295">
        <v>0.25</v>
      </c>
      <c r="U295">
        <v>0.375</v>
      </c>
      <c r="V295">
        <f t="shared" si="9"/>
        <v>15.875</v>
      </c>
      <c r="W295" t="str">
        <f t="shared" si="10"/>
        <v>0.625" (15.875 mm)</v>
      </c>
    </row>
    <row r="296" spans="18:23">
      <c r="R296">
        <v>318</v>
      </c>
      <c r="S296">
        <v>0.625</v>
      </c>
      <c r="T296">
        <v>0.25</v>
      </c>
      <c r="U296">
        <v>0.375</v>
      </c>
      <c r="V296">
        <f t="shared" si="9"/>
        <v>15.875</v>
      </c>
      <c r="W296" t="str">
        <f t="shared" si="10"/>
        <v>0.625" (15.875 mm)</v>
      </c>
    </row>
    <row r="297" spans="18:23">
      <c r="R297">
        <v>319</v>
      </c>
      <c r="S297">
        <v>0.625</v>
      </c>
      <c r="T297">
        <v>0.25</v>
      </c>
      <c r="U297">
        <v>0.375</v>
      </c>
      <c r="V297">
        <f t="shared" si="9"/>
        <v>15.875</v>
      </c>
      <c r="W297" t="str">
        <f t="shared" si="10"/>
        <v>0.625" (15.875 mm)</v>
      </c>
    </row>
    <row r="298" spans="18:23">
      <c r="R298">
        <v>320</v>
      </c>
      <c r="S298">
        <v>0.625</v>
      </c>
      <c r="T298">
        <v>0.25</v>
      </c>
      <c r="U298">
        <v>0.375</v>
      </c>
      <c r="V298">
        <f t="shared" si="9"/>
        <v>15.875</v>
      </c>
      <c r="W298" t="str">
        <f t="shared" si="10"/>
        <v>0.625" (15.875 mm)</v>
      </c>
    </row>
    <row r="299" spans="18:23">
      <c r="R299">
        <v>321</v>
      </c>
      <c r="S299">
        <v>0.625</v>
      </c>
      <c r="T299">
        <v>0.25</v>
      </c>
      <c r="U299">
        <v>0.375</v>
      </c>
      <c r="V299">
        <f t="shared" si="9"/>
        <v>15.875</v>
      </c>
      <c r="W299" t="str">
        <f t="shared" si="10"/>
        <v>0.625" (15.875 mm)</v>
      </c>
    </row>
    <row r="300" spans="18:23">
      <c r="R300">
        <v>322</v>
      </c>
      <c r="S300">
        <v>0.625</v>
      </c>
      <c r="T300">
        <v>0.25</v>
      </c>
      <c r="U300">
        <v>0.375</v>
      </c>
      <c r="V300">
        <f t="shared" si="9"/>
        <v>15.875</v>
      </c>
      <c r="W300" t="str">
        <f t="shared" si="10"/>
        <v>0.625" (15.875 mm)</v>
      </c>
    </row>
    <row r="301" spans="18:23">
      <c r="R301">
        <v>323</v>
      </c>
      <c r="S301">
        <v>0.625</v>
      </c>
      <c r="T301">
        <v>0.25</v>
      </c>
      <c r="U301">
        <v>0.375</v>
      </c>
      <c r="V301">
        <f t="shared" si="9"/>
        <v>15.875</v>
      </c>
      <c r="W301" t="str">
        <f t="shared" si="10"/>
        <v>0.625" (15.875 mm)</v>
      </c>
    </row>
    <row r="302" spans="18:23">
      <c r="R302">
        <v>324</v>
      </c>
      <c r="S302">
        <v>0.625</v>
      </c>
      <c r="T302">
        <v>0.25</v>
      </c>
      <c r="U302">
        <v>0.375</v>
      </c>
      <c r="V302">
        <f t="shared" si="9"/>
        <v>15.875</v>
      </c>
      <c r="W302" t="str">
        <f t="shared" si="10"/>
        <v>0.625" (15.875 mm)</v>
      </c>
    </row>
    <row r="303" spans="18:23">
      <c r="R303">
        <v>325</v>
      </c>
      <c r="S303">
        <v>0.625</v>
      </c>
      <c r="T303">
        <v>0.25</v>
      </c>
      <c r="U303">
        <v>0.375</v>
      </c>
      <c r="V303">
        <f t="shared" si="9"/>
        <v>15.875</v>
      </c>
      <c r="W303" t="str">
        <f t="shared" si="10"/>
        <v>0.625" (15.875 mm)</v>
      </c>
    </row>
    <row r="304" spans="18:23">
      <c r="R304">
        <v>326</v>
      </c>
      <c r="S304">
        <v>0.625</v>
      </c>
      <c r="T304">
        <v>0.25</v>
      </c>
      <c r="U304">
        <v>0.375</v>
      </c>
      <c r="V304">
        <f t="shared" si="9"/>
        <v>15.875</v>
      </c>
      <c r="W304" t="str">
        <f t="shared" si="10"/>
        <v>0.625" (15.875 mm)</v>
      </c>
    </row>
    <row r="305" spans="18:23">
      <c r="R305">
        <v>327</v>
      </c>
      <c r="S305">
        <v>0.625</v>
      </c>
      <c r="T305">
        <v>0.25</v>
      </c>
      <c r="U305">
        <v>0.375</v>
      </c>
      <c r="V305">
        <f t="shared" si="9"/>
        <v>15.875</v>
      </c>
      <c r="W305" t="str">
        <f t="shared" si="10"/>
        <v>0.625" (15.875 mm)</v>
      </c>
    </row>
    <row r="306" spans="18:23">
      <c r="R306">
        <v>328</v>
      </c>
      <c r="S306">
        <v>0.625</v>
      </c>
      <c r="T306">
        <v>0.25</v>
      </c>
      <c r="U306">
        <v>0.375</v>
      </c>
      <c r="V306">
        <f t="shared" si="9"/>
        <v>15.875</v>
      </c>
      <c r="W306" t="str">
        <f t="shared" si="10"/>
        <v>0.625" (15.875 mm)</v>
      </c>
    </row>
    <row r="307" spans="18:23">
      <c r="R307">
        <v>329</v>
      </c>
      <c r="S307">
        <v>0.625</v>
      </c>
      <c r="T307">
        <v>0.25</v>
      </c>
      <c r="U307">
        <v>0.375</v>
      </c>
      <c r="V307">
        <f t="shared" si="9"/>
        <v>15.875</v>
      </c>
      <c r="W307" t="str">
        <f t="shared" si="10"/>
        <v>0.625" (15.875 mm)</v>
      </c>
    </row>
    <row r="308" spans="18:23">
      <c r="R308">
        <v>330</v>
      </c>
      <c r="S308">
        <v>0.625</v>
      </c>
      <c r="T308">
        <v>0.25</v>
      </c>
      <c r="U308">
        <v>0.375</v>
      </c>
      <c r="V308">
        <f t="shared" si="9"/>
        <v>15.875</v>
      </c>
      <c r="W308" t="str">
        <f t="shared" si="10"/>
        <v>0.625" (15.875 mm)</v>
      </c>
    </row>
    <row r="309" spans="18:23">
      <c r="R309">
        <v>331</v>
      </c>
      <c r="S309">
        <v>0.625</v>
      </c>
      <c r="T309">
        <v>0.25</v>
      </c>
      <c r="U309">
        <v>0.375</v>
      </c>
      <c r="V309">
        <f t="shared" si="9"/>
        <v>15.875</v>
      </c>
      <c r="W309" t="str">
        <f t="shared" si="10"/>
        <v>0.625" (15.875 mm)</v>
      </c>
    </row>
    <row r="310" spans="18:23">
      <c r="R310">
        <v>332</v>
      </c>
      <c r="S310">
        <v>0.625</v>
      </c>
      <c r="T310">
        <v>0.25</v>
      </c>
      <c r="U310">
        <v>0.375</v>
      </c>
      <c r="V310">
        <f t="shared" si="9"/>
        <v>15.875</v>
      </c>
      <c r="W310" t="str">
        <f t="shared" si="10"/>
        <v>0.625" (15.875 mm)</v>
      </c>
    </row>
    <row r="311" spans="18:23">
      <c r="R311">
        <v>333</v>
      </c>
      <c r="S311">
        <v>0.625</v>
      </c>
      <c r="T311">
        <v>0.25</v>
      </c>
      <c r="U311">
        <v>0.375</v>
      </c>
      <c r="V311">
        <f t="shared" si="9"/>
        <v>15.875</v>
      </c>
      <c r="W311" t="str">
        <f t="shared" si="10"/>
        <v>0.625" (15.875 mm)</v>
      </c>
    </row>
    <row r="312" spans="18:23">
      <c r="R312">
        <v>334</v>
      </c>
      <c r="S312">
        <v>0.625</v>
      </c>
      <c r="T312">
        <v>0.25</v>
      </c>
      <c r="U312">
        <v>0.375</v>
      </c>
      <c r="V312">
        <f t="shared" si="9"/>
        <v>15.875</v>
      </c>
      <c r="W312" t="str">
        <f t="shared" si="10"/>
        <v>0.625" (15.875 mm)</v>
      </c>
    </row>
    <row r="313" spans="18:23">
      <c r="R313">
        <v>335</v>
      </c>
      <c r="S313">
        <v>0.625</v>
      </c>
      <c r="T313">
        <v>0.25</v>
      </c>
      <c r="U313">
        <v>0.375</v>
      </c>
      <c r="V313">
        <f t="shared" si="9"/>
        <v>15.875</v>
      </c>
      <c r="W313" t="str">
        <f t="shared" si="10"/>
        <v>0.625" (15.875 mm)</v>
      </c>
    </row>
    <row r="314" spans="18:23">
      <c r="R314">
        <v>336</v>
      </c>
      <c r="S314">
        <v>0.625</v>
      </c>
      <c r="T314">
        <v>0.25</v>
      </c>
      <c r="U314">
        <v>0.375</v>
      </c>
      <c r="V314">
        <f t="shared" si="9"/>
        <v>15.875</v>
      </c>
      <c r="W314" t="str">
        <f t="shared" si="10"/>
        <v>0.625" (15.875 mm)</v>
      </c>
    </row>
    <row r="315" spans="18:23">
      <c r="R315">
        <v>337</v>
      </c>
      <c r="S315">
        <v>0.625</v>
      </c>
      <c r="T315">
        <v>0.25</v>
      </c>
      <c r="U315">
        <v>0.375</v>
      </c>
      <c r="V315">
        <f t="shared" si="9"/>
        <v>15.875</v>
      </c>
      <c r="W315" t="str">
        <f t="shared" si="10"/>
        <v>0.625" (15.875 mm)</v>
      </c>
    </row>
    <row r="316" spans="18:23">
      <c r="R316">
        <v>338</v>
      </c>
      <c r="S316">
        <v>0.625</v>
      </c>
      <c r="T316">
        <v>0.25</v>
      </c>
      <c r="U316">
        <v>0.375</v>
      </c>
      <c r="V316">
        <f t="shared" si="9"/>
        <v>15.875</v>
      </c>
      <c r="W316" t="str">
        <f t="shared" si="10"/>
        <v>0.625" (15.875 mm)</v>
      </c>
    </row>
    <row r="317" spans="18:23">
      <c r="R317">
        <v>339</v>
      </c>
      <c r="S317">
        <v>0.625</v>
      </c>
      <c r="T317">
        <v>0.25</v>
      </c>
      <c r="U317">
        <v>0.375</v>
      </c>
      <c r="V317">
        <f t="shared" si="9"/>
        <v>15.875</v>
      </c>
      <c r="W317" t="str">
        <f t="shared" si="10"/>
        <v>0.625" (15.875 mm)</v>
      </c>
    </row>
    <row r="318" spans="18:23">
      <c r="R318">
        <v>340</v>
      </c>
      <c r="S318">
        <v>0.625</v>
      </c>
      <c r="T318">
        <v>0.25</v>
      </c>
      <c r="U318">
        <v>0.375</v>
      </c>
      <c r="V318">
        <f t="shared" si="9"/>
        <v>15.875</v>
      </c>
      <c r="W318" t="str">
        <f t="shared" si="10"/>
        <v>0.625" (15.875 mm)</v>
      </c>
    </row>
    <row r="319" spans="18:23">
      <c r="R319">
        <v>341</v>
      </c>
      <c r="S319">
        <v>0.625</v>
      </c>
      <c r="T319">
        <v>0.25</v>
      </c>
      <c r="U319">
        <v>0.375</v>
      </c>
      <c r="V319">
        <f t="shared" si="9"/>
        <v>15.875</v>
      </c>
      <c r="W319" t="str">
        <f t="shared" si="10"/>
        <v>0.625" (15.875 mm)</v>
      </c>
    </row>
    <row r="320" spans="18:23">
      <c r="R320">
        <v>342</v>
      </c>
      <c r="S320">
        <v>0.625</v>
      </c>
      <c r="T320">
        <v>0.25</v>
      </c>
      <c r="U320">
        <v>0.375</v>
      </c>
      <c r="V320">
        <f t="shared" si="9"/>
        <v>15.875</v>
      </c>
      <c r="W320" t="str">
        <f t="shared" si="10"/>
        <v>0.625" (15.875 mm)</v>
      </c>
    </row>
    <row r="321" spans="18:23">
      <c r="R321">
        <v>343</v>
      </c>
      <c r="S321">
        <v>0.625</v>
      </c>
      <c r="T321">
        <v>0.25</v>
      </c>
      <c r="U321">
        <v>0.375</v>
      </c>
      <c r="V321">
        <f t="shared" si="9"/>
        <v>15.875</v>
      </c>
      <c r="W321" t="str">
        <f t="shared" si="10"/>
        <v>0.625" (15.875 mm)</v>
      </c>
    </row>
    <row r="322" spans="18:23">
      <c r="R322">
        <v>344</v>
      </c>
      <c r="S322">
        <v>0.625</v>
      </c>
      <c r="T322">
        <v>0.25</v>
      </c>
      <c r="U322">
        <v>0.375</v>
      </c>
      <c r="V322">
        <f t="shared" ref="V322:V385" si="11">ROUND(S322*mm, 5)</f>
        <v>15.875</v>
      </c>
      <c r="W322" t="str">
        <f t="shared" si="10"/>
        <v>0.625" (15.875 mm)</v>
      </c>
    </row>
    <row r="323" spans="18:23">
      <c r="R323">
        <v>345</v>
      </c>
      <c r="S323">
        <v>0.625</v>
      </c>
      <c r="T323">
        <v>0.25</v>
      </c>
      <c r="U323">
        <v>0.375</v>
      </c>
      <c r="V323">
        <f t="shared" si="11"/>
        <v>15.875</v>
      </c>
      <c r="W323" t="str">
        <f t="shared" ref="W323:W386" si="12">S323&amp;""""&amp;" ("&amp;V323&amp;" mm)"</f>
        <v>0.625" (15.875 mm)</v>
      </c>
    </row>
    <row r="324" spans="18:23">
      <c r="R324">
        <v>346</v>
      </c>
      <c r="S324">
        <v>0.625</v>
      </c>
      <c r="T324">
        <v>0.25</v>
      </c>
      <c r="U324">
        <v>0.375</v>
      </c>
      <c r="V324">
        <f t="shared" si="11"/>
        <v>15.875</v>
      </c>
      <c r="W324" t="str">
        <f t="shared" si="12"/>
        <v>0.625" (15.875 mm)</v>
      </c>
    </row>
    <row r="325" spans="18:23">
      <c r="R325">
        <v>347</v>
      </c>
      <c r="S325">
        <v>0.625</v>
      </c>
      <c r="T325">
        <v>0.25</v>
      </c>
      <c r="U325">
        <v>0.375</v>
      </c>
      <c r="V325">
        <f t="shared" si="11"/>
        <v>15.875</v>
      </c>
      <c r="W325" t="str">
        <f t="shared" si="12"/>
        <v>0.625" (15.875 mm)</v>
      </c>
    </row>
    <row r="326" spans="18:23">
      <c r="R326">
        <v>348</v>
      </c>
      <c r="S326">
        <v>0.625</v>
      </c>
      <c r="T326">
        <v>0.25</v>
      </c>
      <c r="U326">
        <v>0.375</v>
      </c>
      <c r="V326">
        <f t="shared" si="11"/>
        <v>15.875</v>
      </c>
      <c r="W326" t="str">
        <f t="shared" si="12"/>
        <v>0.625" (15.875 mm)</v>
      </c>
    </row>
    <row r="327" spans="18:23">
      <c r="R327">
        <v>349</v>
      </c>
      <c r="S327">
        <v>0.625</v>
      </c>
      <c r="T327">
        <v>0.25</v>
      </c>
      <c r="U327">
        <v>0.375</v>
      </c>
      <c r="V327">
        <f t="shared" si="11"/>
        <v>15.875</v>
      </c>
      <c r="W327" t="str">
        <f t="shared" si="12"/>
        <v>0.625" (15.875 mm)</v>
      </c>
    </row>
    <row r="328" spans="18:23">
      <c r="R328">
        <v>350</v>
      </c>
      <c r="S328">
        <v>0.625</v>
      </c>
      <c r="T328">
        <v>0.25</v>
      </c>
      <c r="U328">
        <v>0.375</v>
      </c>
      <c r="V328">
        <f t="shared" si="11"/>
        <v>15.875</v>
      </c>
      <c r="W328" t="str">
        <f t="shared" si="12"/>
        <v>0.625" (15.875 mm)</v>
      </c>
    </row>
    <row r="329" spans="18:23">
      <c r="R329">
        <v>351</v>
      </c>
      <c r="S329">
        <v>0.625</v>
      </c>
      <c r="T329">
        <v>0.25</v>
      </c>
      <c r="U329">
        <v>0.375</v>
      </c>
      <c r="V329">
        <f t="shared" si="11"/>
        <v>15.875</v>
      </c>
      <c r="W329" t="str">
        <f t="shared" si="12"/>
        <v>0.625" (15.875 mm)</v>
      </c>
    </row>
    <row r="330" spans="18:23">
      <c r="R330">
        <v>352</v>
      </c>
      <c r="S330">
        <v>0.625</v>
      </c>
      <c r="T330">
        <v>0.25</v>
      </c>
      <c r="U330">
        <v>0.375</v>
      </c>
      <c r="V330">
        <f t="shared" si="11"/>
        <v>15.875</v>
      </c>
      <c r="W330" t="str">
        <f t="shared" si="12"/>
        <v>0.625" (15.875 mm)</v>
      </c>
    </row>
    <row r="331" spans="18:23">
      <c r="R331">
        <v>353</v>
      </c>
      <c r="S331">
        <v>0.625</v>
      </c>
      <c r="T331">
        <v>0.25</v>
      </c>
      <c r="U331">
        <v>0.375</v>
      </c>
      <c r="V331">
        <f t="shared" si="11"/>
        <v>15.875</v>
      </c>
      <c r="W331" t="str">
        <f t="shared" si="12"/>
        <v>0.625" (15.875 mm)</v>
      </c>
    </row>
    <row r="332" spans="18:23">
      <c r="R332">
        <v>354</v>
      </c>
      <c r="S332">
        <v>0.625</v>
      </c>
      <c r="T332">
        <v>0.25</v>
      </c>
      <c r="U332">
        <v>0.375</v>
      </c>
      <c r="V332">
        <f t="shared" si="11"/>
        <v>15.875</v>
      </c>
      <c r="W332" t="str">
        <f t="shared" si="12"/>
        <v>0.625" (15.875 mm)</v>
      </c>
    </row>
    <row r="333" spans="18:23">
      <c r="R333">
        <v>355</v>
      </c>
      <c r="S333">
        <v>0.625</v>
      </c>
      <c r="T333">
        <v>0.25</v>
      </c>
      <c r="U333">
        <v>0.375</v>
      </c>
      <c r="V333">
        <f t="shared" si="11"/>
        <v>15.875</v>
      </c>
      <c r="W333" t="str">
        <f t="shared" si="12"/>
        <v>0.625" (15.875 mm)</v>
      </c>
    </row>
    <row r="334" spans="18:23">
      <c r="R334">
        <v>356</v>
      </c>
      <c r="S334">
        <v>0.625</v>
      </c>
      <c r="T334">
        <v>0.25</v>
      </c>
      <c r="U334">
        <v>0.375</v>
      </c>
      <c r="V334">
        <f t="shared" si="11"/>
        <v>15.875</v>
      </c>
      <c r="W334" t="str">
        <f t="shared" si="12"/>
        <v>0.625" (15.875 mm)</v>
      </c>
    </row>
    <row r="335" spans="18:23">
      <c r="R335">
        <v>357</v>
      </c>
      <c r="S335">
        <v>0.625</v>
      </c>
      <c r="T335">
        <v>0.25</v>
      </c>
      <c r="U335">
        <v>0.375</v>
      </c>
      <c r="V335">
        <f t="shared" si="11"/>
        <v>15.875</v>
      </c>
      <c r="W335" t="str">
        <f t="shared" si="12"/>
        <v>0.625" (15.875 mm)</v>
      </c>
    </row>
    <row r="336" spans="18:23">
      <c r="R336">
        <v>358</v>
      </c>
      <c r="S336">
        <v>0.625</v>
      </c>
      <c r="T336">
        <v>0.25</v>
      </c>
      <c r="U336">
        <v>0.375</v>
      </c>
      <c r="V336">
        <f t="shared" si="11"/>
        <v>15.875</v>
      </c>
      <c r="W336" t="str">
        <f t="shared" si="12"/>
        <v>0.625" (15.875 mm)</v>
      </c>
    </row>
    <row r="337" spans="18:23">
      <c r="R337">
        <v>359</v>
      </c>
      <c r="S337">
        <v>0.625</v>
      </c>
      <c r="T337">
        <v>0.25</v>
      </c>
      <c r="U337">
        <v>0.375</v>
      </c>
      <c r="V337">
        <f t="shared" si="11"/>
        <v>15.875</v>
      </c>
      <c r="W337" t="str">
        <f t="shared" si="12"/>
        <v>0.625" (15.875 mm)</v>
      </c>
    </row>
    <row r="338" spans="18:23">
      <c r="R338">
        <v>360</v>
      </c>
      <c r="S338">
        <v>0.625</v>
      </c>
      <c r="T338">
        <v>0.25</v>
      </c>
      <c r="U338">
        <v>0.375</v>
      </c>
      <c r="V338">
        <f t="shared" si="11"/>
        <v>15.875</v>
      </c>
      <c r="W338" t="str">
        <f t="shared" si="12"/>
        <v>0.625" (15.875 mm)</v>
      </c>
    </row>
    <row r="339" spans="18:23">
      <c r="R339">
        <v>361</v>
      </c>
      <c r="S339">
        <v>0.625</v>
      </c>
      <c r="T339">
        <v>0.25</v>
      </c>
      <c r="U339">
        <v>0.375</v>
      </c>
      <c r="V339">
        <f t="shared" si="11"/>
        <v>15.875</v>
      </c>
      <c r="W339" t="str">
        <f t="shared" si="12"/>
        <v>0.625" (15.875 mm)</v>
      </c>
    </row>
    <row r="340" spans="18:23">
      <c r="R340">
        <v>362</v>
      </c>
      <c r="S340">
        <v>0.625</v>
      </c>
      <c r="T340">
        <v>0.25</v>
      </c>
      <c r="U340">
        <v>0.375</v>
      </c>
      <c r="V340">
        <f t="shared" si="11"/>
        <v>15.875</v>
      </c>
      <c r="W340" t="str">
        <f t="shared" si="12"/>
        <v>0.625" (15.875 mm)</v>
      </c>
    </row>
    <row r="341" spans="18:23">
      <c r="R341">
        <v>363</v>
      </c>
      <c r="S341">
        <v>0.625</v>
      </c>
      <c r="T341">
        <v>0.25</v>
      </c>
      <c r="U341">
        <v>0.375</v>
      </c>
      <c r="V341">
        <f t="shared" si="11"/>
        <v>15.875</v>
      </c>
      <c r="W341" t="str">
        <f t="shared" si="12"/>
        <v>0.625" (15.875 mm)</v>
      </c>
    </row>
    <row r="342" spans="18:23">
      <c r="R342">
        <v>364</v>
      </c>
      <c r="S342">
        <v>0.625</v>
      </c>
      <c r="T342">
        <v>0.25</v>
      </c>
      <c r="U342">
        <v>0.375</v>
      </c>
      <c r="V342">
        <f t="shared" si="11"/>
        <v>15.875</v>
      </c>
      <c r="W342" t="str">
        <f t="shared" si="12"/>
        <v>0.625" (15.875 mm)</v>
      </c>
    </row>
    <row r="343" spans="18:23">
      <c r="R343">
        <v>365</v>
      </c>
      <c r="S343">
        <v>0.625</v>
      </c>
      <c r="T343">
        <v>0.25</v>
      </c>
      <c r="U343">
        <v>0.375</v>
      </c>
      <c r="V343">
        <f t="shared" si="11"/>
        <v>15.875</v>
      </c>
      <c r="W343" t="str">
        <f t="shared" si="12"/>
        <v>0.625" (15.875 mm)</v>
      </c>
    </row>
    <row r="344" spans="18:23">
      <c r="R344">
        <v>366</v>
      </c>
      <c r="S344">
        <v>0.625</v>
      </c>
      <c r="T344">
        <v>0.25</v>
      </c>
      <c r="U344">
        <v>0.375</v>
      </c>
      <c r="V344">
        <f t="shared" si="11"/>
        <v>15.875</v>
      </c>
      <c r="W344" t="str">
        <f t="shared" si="12"/>
        <v>0.625" (15.875 mm)</v>
      </c>
    </row>
    <row r="345" spans="18:23">
      <c r="R345">
        <v>367</v>
      </c>
      <c r="S345">
        <v>0.625</v>
      </c>
      <c r="T345">
        <v>0.25</v>
      </c>
      <c r="U345">
        <v>0.375</v>
      </c>
      <c r="V345">
        <f t="shared" si="11"/>
        <v>15.875</v>
      </c>
      <c r="W345" t="str">
        <f t="shared" si="12"/>
        <v>0.625" (15.875 mm)</v>
      </c>
    </row>
    <row r="346" spans="18:23">
      <c r="R346">
        <v>368</v>
      </c>
      <c r="S346">
        <v>0.625</v>
      </c>
      <c r="T346">
        <v>0.25</v>
      </c>
      <c r="U346">
        <v>0.375</v>
      </c>
      <c r="V346">
        <f t="shared" si="11"/>
        <v>15.875</v>
      </c>
      <c r="W346" t="str">
        <f t="shared" si="12"/>
        <v>0.625" (15.875 mm)</v>
      </c>
    </row>
    <row r="347" spans="18:23">
      <c r="R347">
        <v>369</v>
      </c>
      <c r="S347">
        <v>0.625</v>
      </c>
      <c r="T347">
        <v>0.25</v>
      </c>
      <c r="U347">
        <v>0.375</v>
      </c>
      <c r="V347">
        <f t="shared" si="11"/>
        <v>15.875</v>
      </c>
      <c r="W347" t="str">
        <f t="shared" si="12"/>
        <v>0.625" (15.875 mm)</v>
      </c>
    </row>
    <row r="348" spans="18:23">
      <c r="R348">
        <v>370</v>
      </c>
      <c r="S348">
        <v>0.625</v>
      </c>
      <c r="T348">
        <v>0.25</v>
      </c>
      <c r="U348">
        <v>0.375</v>
      </c>
      <c r="V348">
        <f t="shared" si="11"/>
        <v>15.875</v>
      </c>
      <c r="W348" t="str">
        <f t="shared" si="12"/>
        <v>0.625" (15.875 mm)</v>
      </c>
    </row>
    <row r="349" spans="18:23">
      <c r="R349">
        <v>371</v>
      </c>
      <c r="S349">
        <v>0.625</v>
      </c>
      <c r="T349">
        <v>0.25</v>
      </c>
      <c r="U349">
        <v>0.375</v>
      </c>
      <c r="V349">
        <f t="shared" si="11"/>
        <v>15.875</v>
      </c>
      <c r="W349" t="str">
        <f t="shared" si="12"/>
        <v>0.625" (15.875 mm)</v>
      </c>
    </row>
    <row r="350" spans="18:23">
      <c r="R350">
        <v>372</v>
      </c>
      <c r="S350">
        <v>0.625</v>
      </c>
      <c r="T350">
        <v>0.25</v>
      </c>
      <c r="U350">
        <v>0.375</v>
      </c>
      <c r="V350">
        <f t="shared" si="11"/>
        <v>15.875</v>
      </c>
      <c r="W350" t="str">
        <f t="shared" si="12"/>
        <v>0.625" (15.875 mm)</v>
      </c>
    </row>
    <row r="351" spans="18:23">
      <c r="R351">
        <v>373</v>
      </c>
      <c r="S351">
        <v>0.625</v>
      </c>
      <c r="T351">
        <v>0.25</v>
      </c>
      <c r="U351">
        <v>0.375</v>
      </c>
      <c r="V351">
        <f t="shared" si="11"/>
        <v>15.875</v>
      </c>
      <c r="W351" t="str">
        <f t="shared" si="12"/>
        <v>0.625" (15.875 mm)</v>
      </c>
    </row>
    <row r="352" spans="18:23">
      <c r="R352">
        <v>374</v>
      </c>
      <c r="S352">
        <v>0.625</v>
      </c>
      <c r="T352">
        <v>0.25</v>
      </c>
      <c r="U352">
        <v>0.375</v>
      </c>
      <c r="V352">
        <f t="shared" si="11"/>
        <v>15.875</v>
      </c>
      <c r="W352" t="str">
        <f t="shared" si="12"/>
        <v>0.625" (15.875 mm)</v>
      </c>
    </row>
    <row r="353" spans="18:23">
      <c r="R353">
        <v>375</v>
      </c>
      <c r="S353">
        <v>0.625</v>
      </c>
      <c r="T353">
        <v>0.25</v>
      </c>
      <c r="U353">
        <v>0.375</v>
      </c>
      <c r="V353">
        <f t="shared" si="11"/>
        <v>15.875</v>
      </c>
      <c r="W353" t="str">
        <f t="shared" si="12"/>
        <v>0.625" (15.875 mm)</v>
      </c>
    </row>
    <row r="354" spans="18:23">
      <c r="R354">
        <v>376</v>
      </c>
      <c r="S354">
        <v>0.625</v>
      </c>
      <c r="T354">
        <v>0.25</v>
      </c>
      <c r="U354">
        <v>0.375</v>
      </c>
      <c r="V354">
        <f t="shared" si="11"/>
        <v>15.875</v>
      </c>
      <c r="W354" t="str">
        <f t="shared" si="12"/>
        <v>0.625" (15.875 mm)</v>
      </c>
    </row>
    <row r="355" spans="18:23">
      <c r="R355">
        <v>377</v>
      </c>
      <c r="S355">
        <v>0.625</v>
      </c>
      <c r="T355">
        <v>0.25</v>
      </c>
      <c r="U355">
        <v>0.375</v>
      </c>
      <c r="V355">
        <f t="shared" si="11"/>
        <v>15.875</v>
      </c>
      <c r="W355" t="str">
        <f t="shared" si="12"/>
        <v>0.625" (15.875 mm)</v>
      </c>
    </row>
    <row r="356" spans="18:23">
      <c r="R356">
        <v>378</v>
      </c>
      <c r="S356">
        <v>0.625</v>
      </c>
      <c r="T356">
        <v>0.25</v>
      </c>
      <c r="U356">
        <v>0.375</v>
      </c>
      <c r="V356">
        <f t="shared" si="11"/>
        <v>15.875</v>
      </c>
      <c r="W356" t="str">
        <f t="shared" si="12"/>
        <v>0.625" (15.875 mm)</v>
      </c>
    </row>
    <row r="357" spans="18:23">
      <c r="R357">
        <v>379</v>
      </c>
      <c r="S357">
        <v>0.625</v>
      </c>
      <c r="T357">
        <v>0.25</v>
      </c>
      <c r="U357">
        <v>0.375</v>
      </c>
      <c r="V357">
        <f t="shared" si="11"/>
        <v>15.875</v>
      </c>
      <c r="W357" t="str">
        <f t="shared" si="12"/>
        <v>0.625" (15.875 mm)</v>
      </c>
    </row>
    <row r="358" spans="18:23">
      <c r="R358">
        <v>380</v>
      </c>
      <c r="S358">
        <v>0.625</v>
      </c>
      <c r="T358">
        <v>0.25</v>
      </c>
      <c r="U358">
        <v>0.375</v>
      </c>
      <c r="V358">
        <f t="shared" si="11"/>
        <v>15.875</v>
      </c>
      <c r="W358" t="str">
        <f t="shared" si="12"/>
        <v>0.625" (15.875 mm)</v>
      </c>
    </row>
    <row r="359" spans="18:23">
      <c r="R359">
        <v>381</v>
      </c>
      <c r="S359">
        <v>0.625</v>
      </c>
      <c r="T359">
        <v>0.25</v>
      </c>
      <c r="U359">
        <v>0.375</v>
      </c>
      <c r="V359">
        <f t="shared" si="11"/>
        <v>15.875</v>
      </c>
      <c r="W359" t="str">
        <f t="shared" si="12"/>
        <v>0.625" (15.875 mm)</v>
      </c>
    </row>
    <row r="360" spans="18:23">
      <c r="R360">
        <v>382</v>
      </c>
      <c r="S360">
        <v>0.625</v>
      </c>
      <c r="T360">
        <v>0.25</v>
      </c>
      <c r="U360">
        <v>0.375</v>
      </c>
      <c r="V360">
        <f t="shared" si="11"/>
        <v>15.875</v>
      </c>
      <c r="W360" t="str">
        <f t="shared" si="12"/>
        <v>0.625" (15.875 mm)</v>
      </c>
    </row>
    <row r="361" spans="18:23">
      <c r="R361">
        <v>383</v>
      </c>
      <c r="S361">
        <v>0.625</v>
      </c>
      <c r="T361">
        <v>0.25</v>
      </c>
      <c r="U361">
        <v>0.375</v>
      </c>
      <c r="V361">
        <f t="shared" si="11"/>
        <v>15.875</v>
      </c>
      <c r="W361" t="str">
        <f t="shared" si="12"/>
        <v>0.625" (15.875 mm)</v>
      </c>
    </row>
    <row r="362" spans="18:23">
      <c r="R362">
        <v>384</v>
      </c>
      <c r="S362">
        <v>0.625</v>
      </c>
      <c r="T362">
        <v>0.25</v>
      </c>
      <c r="U362">
        <v>0.375</v>
      </c>
      <c r="V362">
        <f t="shared" si="11"/>
        <v>15.875</v>
      </c>
      <c r="W362" t="str">
        <f t="shared" si="12"/>
        <v>0.625" (15.875 mm)</v>
      </c>
    </row>
    <row r="363" spans="18:23">
      <c r="R363">
        <v>385</v>
      </c>
      <c r="S363">
        <v>0.625</v>
      </c>
      <c r="T363">
        <v>0.25</v>
      </c>
      <c r="U363">
        <v>0.375</v>
      </c>
      <c r="V363">
        <f t="shared" si="11"/>
        <v>15.875</v>
      </c>
      <c r="W363" t="str">
        <f t="shared" si="12"/>
        <v>0.625" (15.875 mm)</v>
      </c>
    </row>
    <row r="364" spans="18:23">
      <c r="R364">
        <v>386</v>
      </c>
      <c r="S364">
        <v>0.625</v>
      </c>
      <c r="T364">
        <v>0.25</v>
      </c>
      <c r="U364">
        <v>0.375</v>
      </c>
      <c r="V364">
        <f t="shared" si="11"/>
        <v>15.875</v>
      </c>
      <c r="W364" t="str">
        <f t="shared" si="12"/>
        <v>0.625" (15.875 mm)</v>
      </c>
    </row>
    <row r="365" spans="18:23">
      <c r="R365">
        <v>387</v>
      </c>
      <c r="S365">
        <v>0.625</v>
      </c>
      <c r="T365">
        <v>0.25</v>
      </c>
      <c r="U365">
        <v>0.375</v>
      </c>
      <c r="V365">
        <f t="shared" si="11"/>
        <v>15.875</v>
      </c>
      <c r="W365" t="str">
        <f t="shared" si="12"/>
        <v>0.625" (15.875 mm)</v>
      </c>
    </row>
    <row r="366" spans="18:23">
      <c r="R366">
        <v>388</v>
      </c>
      <c r="S366">
        <v>0.625</v>
      </c>
      <c r="T366">
        <v>0.25</v>
      </c>
      <c r="U366">
        <v>0.375</v>
      </c>
      <c r="V366">
        <f t="shared" si="11"/>
        <v>15.875</v>
      </c>
      <c r="W366" t="str">
        <f t="shared" si="12"/>
        <v>0.625" (15.875 mm)</v>
      </c>
    </row>
    <row r="367" spans="18:23">
      <c r="R367">
        <v>389</v>
      </c>
      <c r="S367">
        <v>0.625</v>
      </c>
      <c r="T367">
        <v>0.25</v>
      </c>
      <c r="U367">
        <v>0.375</v>
      </c>
      <c r="V367">
        <f t="shared" si="11"/>
        <v>15.875</v>
      </c>
      <c r="W367" t="str">
        <f t="shared" si="12"/>
        <v>0.625" (15.875 mm)</v>
      </c>
    </row>
    <row r="368" spans="18:23">
      <c r="R368">
        <v>390</v>
      </c>
      <c r="S368">
        <v>0.625</v>
      </c>
      <c r="T368">
        <v>0.25</v>
      </c>
      <c r="U368">
        <v>0.375</v>
      </c>
      <c r="V368">
        <f t="shared" si="11"/>
        <v>15.875</v>
      </c>
      <c r="W368" t="str">
        <f t="shared" si="12"/>
        <v>0.625" (15.875 mm)</v>
      </c>
    </row>
    <row r="369" spans="18:23">
      <c r="R369">
        <v>391</v>
      </c>
      <c r="S369">
        <v>0.625</v>
      </c>
      <c r="T369">
        <v>0.25</v>
      </c>
      <c r="U369">
        <v>0.375</v>
      </c>
      <c r="V369">
        <f t="shared" si="11"/>
        <v>15.875</v>
      </c>
      <c r="W369" t="str">
        <f t="shared" si="12"/>
        <v>0.625" (15.875 mm)</v>
      </c>
    </row>
    <row r="370" spans="18:23">
      <c r="R370">
        <v>392</v>
      </c>
      <c r="S370">
        <v>0.625</v>
      </c>
      <c r="T370">
        <v>0.25</v>
      </c>
      <c r="U370">
        <v>0.375</v>
      </c>
      <c r="V370">
        <f t="shared" si="11"/>
        <v>15.875</v>
      </c>
      <c r="W370" t="str">
        <f t="shared" si="12"/>
        <v>0.625" (15.875 mm)</v>
      </c>
    </row>
    <row r="371" spans="18:23">
      <c r="R371">
        <v>393</v>
      </c>
      <c r="S371">
        <v>0.625</v>
      </c>
      <c r="T371">
        <v>0.25</v>
      </c>
      <c r="U371">
        <v>0.375</v>
      </c>
      <c r="V371">
        <f t="shared" si="11"/>
        <v>15.875</v>
      </c>
      <c r="W371" t="str">
        <f t="shared" si="12"/>
        <v>0.625" (15.875 mm)</v>
      </c>
    </row>
    <row r="372" spans="18:23">
      <c r="R372">
        <v>394</v>
      </c>
      <c r="S372">
        <v>0.625</v>
      </c>
      <c r="T372">
        <v>0.25</v>
      </c>
      <c r="U372">
        <v>0.375</v>
      </c>
      <c r="V372">
        <f t="shared" si="11"/>
        <v>15.875</v>
      </c>
      <c r="W372" t="str">
        <f t="shared" si="12"/>
        <v>0.625" (15.875 mm)</v>
      </c>
    </row>
    <row r="373" spans="18:23">
      <c r="R373">
        <v>395</v>
      </c>
      <c r="S373">
        <v>0.625</v>
      </c>
      <c r="T373">
        <v>0.25</v>
      </c>
      <c r="U373">
        <v>0.375</v>
      </c>
      <c r="V373">
        <f t="shared" si="11"/>
        <v>15.875</v>
      </c>
      <c r="W373" t="str">
        <f t="shared" si="12"/>
        <v>0.625" (15.875 mm)</v>
      </c>
    </row>
    <row r="374" spans="18:23">
      <c r="R374">
        <v>396</v>
      </c>
      <c r="S374">
        <v>0.625</v>
      </c>
      <c r="T374">
        <v>0.25</v>
      </c>
      <c r="U374">
        <v>0.375</v>
      </c>
      <c r="V374">
        <f t="shared" si="11"/>
        <v>15.875</v>
      </c>
      <c r="W374" t="str">
        <f t="shared" si="12"/>
        <v>0.625" (15.875 mm)</v>
      </c>
    </row>
    <row r="375" spans="18:23">
      <c r="R375">
        <v>397</v>
      </c>
      <c r="S375">
        <v>0.625</v>
      </c>
      <c r="T375">
        <v>0.25</v>
      </c>
      <c r="U375">
        <v>0.375</v>
      </c>
      <c r="V375">
        <f t="shared" si="11"/>
        <v>15.875</v>
      </c>
      <c r="W375" t="str">
        <f t="shared" si="12"/>
        <v>0.625" (15.875 mm)</v>
      </c>
    </row>
    <row r="376" spans="18:23">
      <c r="R376">
        <v>398</v>
      </c>
      <c r="S376">
        <v>0.625</v>
      </c>
      <c r="T376">
        <v>0.25</v>
      </c>
      <c r="U376">
        <v>0.375</v>
      </c>
      <c r="V376">
        <f t="shared" si="11"/>
        <v>15.875</v>
      </c>
      <c r="W376" t="str">
        <f t="shared" si="12"/>
        <v>0.625" (15.875 mm)</v>
      </c>
    </row>
    <row r="377" spans="18:23">
      <c r="R377">
        <v>399</v>
      </c>
      <c r="S377">
        <v>0.625</v>
      </c>
      <c r="T377">
        <v>0.25</v>
      </c>
      <c r="U377">
        <v>0.375</v>
      </c>
      <c r="V377">
        <f t="shared" si="11"/>
        <v>15.875</v>
      </c>
      <c r="W377" t="str">
        <f t="shared" si="12"/>
        <v>0.625" (15.875 mm)</v>
      </c>
    </row>
    <row r="378" spans="18:23">
      <c r="R378">
        <v>400</v>
      </c>
      <c r="S378">
        <v>0.625</v>
      </c>
      <c r="T378">
        <v>0.25</v>
      </c>
      <c r="U378">
        <v>0.375</v>
      </c>
      <c r="V378">
        <f t="shared" si="11"/>
        <v>15.875</v>
      </c>
      <c r="W378" t="str">
        <f t="shared" si="12"/>
        <v>0.625" (15.875 mm)</v>
      </c>
    </row>
    <row r="379" spans="18:23">
      <c r="R379">
        <v>401</v>
      </c>
      <c r="S379">
        <v>0.625</v>
      </c>
      <c r="T379">
        <v>0.25</v>
      </c>
      <c r="U379">
        <v>0.375</v>
      </c>
      <c r="V379">
        <f t="shared" si="11"/>
        <v>15.875</v>
      </c>
      <c r="W379" t="str">
        <f t="shared" si="12"/>
        <v>0.625" (15.875 mm)</v>
      </c>
    </row>
    <row r="380" spans="18:23">
      <c r="R380">
        <v>402</v>
      </c>
      <c r="S380">
        <v>0.625</v>
      </c>
      <c r="T380">
        <v>0.25</v>
      </c>
      <c r="U380">
        <v>0.375</v>
      </c>
      <c r="V380">
        <f t="shared" si="11"/>
        <v>15.875</v>
      </c>
      <c r="W380" t="str">
        <f t="shared" si="12"/>
        <v>0.625" (15.875 mm)</v>
      </c>
    </row>
    <row r="381" spans="18:23">
      <c r="R381">
        <v>403</v>
      </c>
      <c r="S381">
        <v>0.625</v>
      </c>
      <c r="T381">
        <v>0.25</v>
      </c>
      <c r="U381">
        <v>0.375</v>
      </c>
      <c r="V381">
        <f t="shared" si="11"/>
        <v>15.875</v>
      </c>
      <c r="W381" t="str">
        <f t="shared" si="12"/>
        <v>0.625" (15.875 mm)</v>
      </c>
    </row>
    <row r="382" spans="18:23">
      <c r="R382">
        <v>404</v>
      </c>
      <c r="S382">
        <v>0.625</v>
      </c>
      <c r="T382">
        <v>0.25</v>
      </c>
      <c r="U382">
        <v>0.375</v>
      </c>
      <c r="V382">
        <f t="shared" si="11"/>
        <v>15.875</v>
      </c>
      <c r="W382" t="str">
        <f t="shared" si="12"/>
        <v>0.625" (15.875 mm)</v>
      </c>
    </row>
    <row r="383" spans="18:23">
      <c r="R383">
        <v>405</v>
      </c>
      <c r="S383">
        <v>0.625</v>
      </c>
      <c r="T383">
        <v>0.25</v>
      </c>
      <c r="U383">
        <v>0.375</v>
      </c>
      <c r="V383">
        <f t="shared" si="11"/>
        <v>15.875</v>
      </c>
      <c r="W383" t="str">
        <f t="shared" si="12"/>
        <v>0.625" (15.875 mm)</v>
      </c>
    </row>
    <row r="384" spans="18:23">
      <c r="R384">
        <v>406</v>
      </c>
      <c r="S384">
        <v>0.625</v>
      </c>
      <c r="T384">
        <v>0.25</v>
      </c>
      <c r="U384">
        <v>0.375</v>
      </c>
      <c r="V384">
        <f t="shared" si="11"/>
        <v>15.875</v>
      </c>
      <c r="W384" t="str">
        <f t="shared" si="12"/>
        <v>0.625" (15.875 mm)</v>
      </c>
    </row>
    <row r="385" spans="18:23">
      <c r="R385">
        <v>407</v>
      </c>
      <c r="S385">
        <v>0.625</v>
      </c>
      <c r="T385">
        <v>0.25</v>
      </c>
      <c r="U385">
        <v>0.375</v>
      </c>
      <c r="V385">
        <f t="shared" si="11"/>
        <v>15.875</v>
      </c>
      <c r="W385" t="str">
        <f t="shared" si="12"/>
        <v>0.625" (15.875 mm)</v>
      </c>
    </row>
    <row r="386" spans="18:23">
      <c r="R386">
        <v>408</v>
      </c>
      <c r="S386">
        <v>0.625</v>
      </c>
      <c r="T386">
        <v>0.25</v>
      </c>
      <c r="U386">
        <v>0.375</v>
      </c>
      <c r="V386">
        <f t="shared" ref="V386:V449" si="13">ROUND(S386*mm, 5)</f>
        <v>15.875</v>
      </c>
      <c r="W386" t="str">
        <f t="shared" si="12"/>
        <v>0.625" (15.875 mm)</v>
      </c>
    </row>
    <row r="387" spans="18:23">
      <c r="R387">
        <v>409</v>
      </c>
      <c r="S387">
        <v>0.625</v>
      </c>
      <c r="T387">
        <v>0.25</v>
      </c>
      <c r="U387">
        <v>0.375</v>
      </c>
      <c r="V387">
        <f t="shared" si="13"/>
        <v>15.875</v>
      </c>
      <c r="W387" t="str">
        <f t="shared" ref="W387:W450" si="14">S387&amp;""""&amp;" ("&amp;V387&amp;" mm)"</f>
        <v>0.625" (15.875 mm)</v>
      </c>
    </row>
    <row r="388" spans="18:23">
      <c r="R388">
        <v>410</v>
      </c>
      <c r="S388">
        <v>0.625</v>
      </c>
      <c r="T388">
        <v>0.25</v>
      </c>
      <c r="U388">
        <v>0.375</v>
      </c>
      <c r="V388">
        <f t="shared" si="13"/>
        <v>15.875</v>
      </c>
      <c r="W388" t="str">
        <f t="shared" si="14"/>
        <v>0.625" (15.875 mm)</v>
      </c>
    </row>
    <row r="389" spans="18:23">
      <c r="R389">
        <v>411</v>
      </c>
      <c r="S389">
        <v>0.625</v>
      </c>
      <c r="T389">
        <v>0.25</v>
      </c>
      <c r="U389">
        <v>0.375</v>
      </c>
      <c r="V389">
        <f t="shared" si="13"/>
        <v>15.875</v>
      </c>
      <c r="W389" t="str">
        <f t="shared" si="14"/>
        <v>0.625" (15.875 mm)</v>
      </c>
    </row>
    <row r="390" spans="18:23">
      <c r="R390">
        <v>412</v>
      </c>
      <c r="S390">
        <v>0.625</v>
      </c>
      <c r="T390">
        <v>0.25</v>
      </c>
      <c r="U390">
        <v>0.375</v>
      </c>
      <c r="V390">
        <f t="shared" si="13"/>
        <v>15.875</v>
      </c>
      <c r="W390" t="str">
        <f t="shared" si="14"/>
        <v>0.625" (15.875 mm)</v>
      </c>
    </row>
    <row r="391" spans="18:23">
      <c r="R391">
        <v>413</v>
      </c>
      <c r="S391">
        <v>0.625</v>
      </c>
      <c r="T391">
        <v>0.25</v>
      </c>
      <c r="U391">
        <v>0.375</v>
      </c>
      <c r="V391">
        <f t="shared" si="13"/>
        <v>15.875</v>
      </c>
      <c r="W391" t="str">
        <f t="shared" si="14"/>
        <v>0.625" (15.875 mm)</v>
      </c>
    </row>
    <row r="392" spans="18:23">
      <c r="R392">
        <v>414</v>
      </c>
      <c r="S392">
        <v>0.625</v>
      </c>
      <c r="T392">
        <v>0.25</v>
      </c>
      <c r="U392">
        <v>0.375</v>
      </c>
      <c r="V392">
        <f t="shared" si="13"/>
        <v>15.875</v>
      </c>
      <c r="W392" t="str">
        <f t="shared" si="14"/>
        <v>0.625" (15.875 mm)</v>
      </c>
    </row>
    <row r="393" spans="18:23">
      <c r="R393">
        <v>415</v>
      </c>
      <c r="S393">
        <v>0.625</v>
      </c>
      <c r="T393">
        <v>0.25</v>
      </c>
      <c r="U393">
        <v>0.375</v>
      </c>
      <c r="V393">
        <f t="shared" si="13"/>
        <v>15.875</v>
      </c>
      <c r="W393" t="str">
        <f t="shared" si="14"/>
        <v>0.625" (15.875 mm)</v>
      </c>
    </row>
    <row r="394" spans="18:23">
      <c r="R394">
        <v>416</v>
      </c>
      <c r="S394">
        <v>0.625</v>
      </c>
      <c r="T394">
        <v>0.25</v>
      </c>
      <c r="U394">
        <v>0.375</v>
      </c>
      <c r="V394">
        <f t="shared" si="13"/>
        <v>15.875</v>
      </c>
      <c r="W394" t="str">
        <f t="shared" si="14"/>
        <v>0.625" (15.875 mm)</v>
      </c>
    </row>
    <row r="395" spans="18:23">
      <c r="R395">
        <v>417</v>
      </c>
      <c r="S395">
        <v>0.625</v>
      </c>
      <c r="T395">
        <v>0.25</v>
      </c>
      <c r="U395">
        <v>0.375</v>
      </c>
      <c r="V395">
        <f t="shared" si="13"/>
        <v>15.875</v>
      </c>
      <c r="W395" t="str">
        <f t="shared" si="14"/>
        <v>0.625" (15.875 mm)</v>
      </c>
    </row>
    <row r="396" spans="18:23">
      <c r="R396">
        <v>418</v>
      </c>
      <c r="S396">
        <v>0.625</v>
      </c>
      <c r="T396">
        <v>0.25</v>
      </c>
      <c r="U396">
        <v>0.375</v>
      </c>
      <c r="V396">
        <f t="shared" si="13"/>
        <v>15.875</v>
      </c>
      <c r="W396" t="str">
        <f t="shared" si="14"/>
        <v>0.625" (15.875 mm)</v>
      </c>
    </row>
    <row r="397" spans="18:23">
      <c r="R397">
        <v>419</v>
      </c>
      <c r="S397">
        <v>0.625</v>
      </c>
      <c r="T397">
        <v>0.25</v>
      </c>
      <c r="U397">
        <v>0.375</v>
      </c>
      <c r="V397">
        <f t="shared" si="13"/>
        <v>15.875</v>
      </c>
      <c r="W397" t="str">
        <f t="shared" si="14"/>
        <v>0.625" (15.875 mm)</v>
      </c>
    </row>
    <row r="398" spans="18:23">
      <c r="R398">
        <v>420</v>
      </c>
      <c r="S398">
        <v>0.625</v>
      </c>
      <c r="T398">
        <v>0.25</v>
      </c>
      <c r="U398">
        <v>0.375</v>
      </c>
      <c r="V398">
        <f t="shared" si="13"/>
        <v>15.875</v>
      </c>
      <c r="W398" t="str">
        <f t="shared" si="14"/>
        <v>0.625" (15.875 mm)</v>
      </c>
    </row>
    <row r="399" spans="18:23">
      <c r="R399">
        <v>421</v>
      </c>
      <c r="S399">
        <v>0.625</v>
      </c>
      <c r="T399">
        <v>0.25</v>
      </c>
      <c r="U399">
        <v>0.375</v>
      </c>
      <c r="V399">
        <f t="shared" si="13"/>
        <v>15.875</v>
      </c>
      <c r="W399" t="str">
        <f t="shared" si="14"/>
        <v>0.625" (15.875 mm)</v>
      </c>
    </row>
    <row r="400" spans="18:23">
      <c r="R400">
        <v>422</v>
      </c>
      <c r="S400">
        <v>0.625</v>
      </c>
      <c r="T400">
        <v>0.25</v>
      </c>
      <c r="U400">
        <v>0.375</v>
      </c>
      <c r="V400">
        <f t="shared" si="13"/>
        <v>15.875</v>
      </c>
      <c r="W400" t="str">
        <f t="shared" si="14"/>
        <v>0.625" (15.875 mm)</v>
      </c>
    </row>
    <row r="401" spans="18:23">
      <c r="R401">
        <v>423</v>
      </c>
      <c r="S401">
        <v>0.625</v>
      </c>
      <c r="T401">
        <v>0.25</v>
      </c>
      <c r="U401">
        <v>0.375</v>
      </c>
      <c r="V401">
        <f t="shared" si="13"/>
        <v>15.875</v>
      </c>
      <c r="W401" t="str">
        <f t="shared" si="14"/>
        <v>0.625" (15.875 mm)</v>
      </c>
    </row>
    <row r="402" spans="18:23">
      <c r="R402">
        <v>424</v>
      </c>
      <c r="S402">
        <v>0.625</v>
      </c>
      <c r="T402">
        <v>0.25</v>
      </c>
      <c r="U402">
        <v>0.375</v>
      </c>
      <c r="V402">
        <f t="shared" si="13"/>
        <v>15.875</v>
      </c>
      <c r="W402" t="str">
        <f t="shared" si="14"/>
        <v>0.625" (15.875 mm)</v>
      </c>
    </row>
    <row r="403" spans="18:23">
      <c r="R403">
        <v>425</v>
      </c>
      <c r="S403">
        <v>0.625</v>
      </c>
      <c r="T403">
        <v>0.25</v>
      </c>
      <c r="U403">
        <v>0.375</v>
      </c>
      <c r="V403">
        <f t="shared" si="13"/>
        <v>15.875</v>
      </c>
      <c r="W403" t="str">
        <f t="shared" si="14"/>
        <v>0.625" (15.875 mm)</v>
      </c>
    </row>
    <row r="404" spans="18:23">
      <c r="R404">
        <v>426</v>
      </c>
      <c r="S404">
        <v>0.625</v>
      </c>
      <c r="T404">
        <v>0.25</v>
      </c>
      <c r="U404">
        <v>0.375</v>
      </c>
      <c r="V404">
        <f t="shared" si="13"/>
        <v>15.875</v>
      </c>
      <c r="W404" t="str">
        <f t="shared" si="14"/>
        <v>0.625" (15.875 mm)</v>
      </c>
    </row>
    <row r="405" spans="18:23">
      <c r="R405">
        <v>427</v>
      </c>
      <c r="S405">
        <v>0.625</v>
      </c>
      <c r="T405">
        <v>0.25</v>
      </c>
      <c r="U405">
        <v>0.375</v>
      </c>
      <c r="V405">
        <f t="shared" si="13"/>
        <v>15.875</v>
      </c>
      <c r="W405" t="str">
        <f t="shared" si="14"/>
        <v>0.625" (15.875 mm)</v>
      </c>
    </row>
    <row r="406" spans="18:23">
      <c r="R406">
        <v>428</v>
      </c>
      <c r="S406">
        <v>0.625</v>
      </c>
      <c r="T406">
        <v>0.25</v>
      </c>
      <c r="U406">
        <v>0.375</v>
      </c>
      <c r="V406">
        <f t="shared" si="13"/>
        <v>15.875</v>
      </c>
      <c r="W406" t="str">
        <f t="shared" si="14"/>
        <v>0.625" (15.875 mm)</v>
      </c>
    </row>
    <row r="407" spans="18:23">
      <c r="R407">
        <v>429</v>
      </c>
      <c r="S407">
        <v>0.625</v>
      </c>
      <c r="T407">
        <v>0.25</v>
      </c>
      <c r="U407">
        <v>0.375</v>
      </c>
      <c r="V407">
        <f t="shared" si="13"/>
        <v>15.875</v>
      </c>
      <c r="W407" t="str">
        <f t="shared" si="14"/>
        <v>0.625" (15.875 mm)</v>
      </c>
    </row>
    <row r="408" spans="18:23">
      <c r="R408">
        <v>430</v>
      </c>
      <c r="S408">
        <v>0.625</v>
      </c>
      <c r="T408">
        <v>0.25</v>
      </c>
      <c r="U408">
        <v>0.375</v>
      </c>
      <c r="V408">
        <f t="shared" si="13"/>
        <v>15.875</v>
      </c>
      <c r="W408" t="str">
        <f t="shared" si="14"/>
        <v>0.625" (15.875 mm)</v>
      </c>
    </row>
    <row r="409" spans="18:23">
      <c r="R409">
        <v>431</v>
      </c>
      <c r="S409">
        <v>0.625</v>
      </c>
      <c r="T409">
        <v>0.25</v>
      </c>
      <c r="U409">
        <v>0.375</v>
      </c>
      <c r="V409">
        <f t="shared" si="13"/>
        <v>15.875</v>
      </c>
      <c r="W409" t="str">
        <f t="shared" si="14"/>
        <v>0.625" (15.875 mm)</v>
      </c>
    </row>
    <row r="410" spans="18:23">
      <c r="R410">
        <v>432</v>
      </c>
      <c r="S410">
        <v>0.625</v>
      </c>
      <c r="T410">
        <v>0.25</v>
      </c>
      <c r="U410">
        <v>0.375</v>
      </c>
      <c r="V410">
        <f t="shared" si="13"/>
        <v>15.875</v>
      </c>
      <c r="W410" t="str">
        <f t="shared" si="14"/>
        <v>0.625" (15.875 mm)</v>
      </c>
    </row>
    <row r="411" spans="18:23">
      <c r="R411">
        <v>433</v>
      </c>
      <c r="S411">
        <v>0.625</v>
      </c>
      <c r="T411">
        <v>0.25</v>
      </c>
      <c r="U411">
        <v>0.375</v>
      </c>
      <c r="V411">
        <f t="shared" si="13"/>
        <v>15.875</v>
      </c>
      <c r="W411" t="str">
        <f t="shared" si="14"/>
        <v>0.625" (15.875 mm)</v>
      </c>
    </row>
    <row r="412" spans="18:23">
      <c r="R412">
        <v>434</v>
      </c>
      <c r="S412">
        <v>0.625</v>
      </c>
      <c r="T412">
        <v>0.25</v>
      </c>
      <c r="U412">
        <v>0.375</v>
      </c>
      <c r="V412">
        <f t="shared" si="13"/>
        <v>15.875</v>
      </c>
      <c r="W412" t="str">
        <f t="shared" si="14"/>
        <v>0.625" (15.875 mm)</v>
      </c>
    </row>
    <row r="413" spans="18:23">
      <c r="R413">
        <v>435</v>
      </c>
      <c r="S413">
        <v>0.625</v>
      </c>
      <c r="T413">
        <v>0.25</v>
      </c>
      <c r="U413">
        <v>0.375</v>
      </c>
      <c r="V413">
        <f t="shared" si="13"/>
        <v>15.875</v>
      </c>
      <c r="W413" t="str">
        <f t="shared" si="14"/>
        <v>0.625" (15.875 mm)</v>
      </c>
    </row>
    <row r="414" spans="18:23">
      <c r="R414">
        <v>436</v>
      </c>
      <c r="S414">
        <v>0.625</v>
      </c>
      <c r="T414">
        <v>0.25</v>
      </c>
      <c r="U414">
        <v>0.375</v>
      </c>
      <c r="V414">
        <f t="shared" si="13"/>
        <v>15.875</v>
      </c>
      <c r="W414" t="str">
        <f t="shared" si="14"/>
        <v>0.625" (15.875 mm)</v>
      </c>
    </row>
    <row r="415" spans="18:23">
      <c r="R415">
        <v>437</v>
      </c>
      <c r="S415">
        <v>0.625</v>
      </c>
      <c r="T415">
        <v>0.25</v>
      </c>
      <c r="U415">
        <v>0.375</v>
      </c>
      <c r="V415">
        <f t="shared" si="13"/>
        <v>15.875</v>
      </c>
      <c r="W415" t="str">
        <f t="shared" si="14"/>
        <v>0.625" (15.875 mm)</v>
      </c>
    </row>
    <row r="416" spans="18:23">
      <c r="R416">
        <v>438</v>
      </c>
      <c r="S416">
        <v>0.625</v>
      </c>
      <c r="T416">
        <v>0.25</v>
      </c>
      <c r="U416">
        <v>0.375</v>
      </c>
      <c r="V416">
        <f t="shared" si="13"/>
        <v>15.875</v>
      </c>
      <c r="W416" t="str">
        <f t="shared" si="14"/>
        <v>0.625" (15.875 mm)</v>
      </c>
    </row>
    <row r="417" spans="18:23">
      <c r="R417">
        <v>439</v>
      </c>
      <c r="S417">
        <v>0.625</v>
      </c>
      <c r="T417">
        <v>0.25</v>
      </c>
      <c r="U417">
        <v>0.375</v>
      </c>
      <c r="V417">
        <f t="shared" si="13"/>
        <v>15.875</v>
      </c>
      <c r="W417" t="str">
        <f t="shared" si="14"/>
        <v>0.625" (15.875 mm)</v>
      </c>
    </row>
    <row r="418" spans="18:23">
      <c r="R418">
        <v>440</v>
      </c>
      <c r="S418">
        <v>0.625</v>
      </c>
      <c r="T418">
        <v>0.25</v>
      </c>
      <c r="U418">
        <v>0.375</v>
      </c>
      <c r="V418">
        <f t="shared" si="13"/>
        <v>15.875</v>
      </c>
      <c r="W418" t="str">
        <f t="shared" si="14"/>
        <v>0.625" (15.875 mm)</v>
      </c>
    </row>
    <row r="419" spans="18:23">
      <c r="R419">
        <v>441</v>
      </c>
      <c r="S419">
        <v>0.625</v>
      </c>
      <c r="T419">
        <v>0.25</v>
      </c>
      <c r="U419">
        <v>0.375</v>
      </c>
      <c r="V419">
        <f t="shared" si="13"/>
        <v>15.875</v>
      </c>
      <c r="W419" t="str">
        <f t="shared" si="14"/>
        <v>0.625" (15.875 mm)</v>
      </c>
    </row>
    <row r="420" spans="18:23">
      <c r="R420">
        <v>442</v>
      </c>
      <c r="S420">
        <v>0.625</v>
      </c>
      <c r="T420">
        <v>0.25</v>
      </c>
      <c r="U420">
        <v>0.375</v>
      </c>
      <c r="V420">
        <f t="shared" si="13"/>
        <v>15.875</v>
      </c>
      <c r="W420" t="str">
        <f t="shared" si="14"/>
        <v>0.625" (15.875 mm)</v>
      </c>
    </row>
    <row r="421" spans="18:23">
      <c r="R421">
        <v>443</v>
      </c>
      <c r="S421">
        <v>0.625</v>
      </c>
      <c r="T421">
        <v>0.25</v>
      </c>
      <c r="U421">
        <v>0.375</v>
      </c>
      <c r="V421">
        <f t="shared" si="13"/>
        <v>15.875</v>
      </c>
      <c r="W421" t="str">
        <f t="shared" si="14"/>
        <v>0.625" (15.875 mm)</v>
      </c>
    </row>
    <row r="422" spans="18:23">
      <c r="R422">
        <v>444</v>
      </c>
      <c r="S422">
        <v>0.625</v>
      </c>
      <c r="T422">
        <v>0.25</v>
      </c>
      <c r="U422">
        <v>0.375</v>
      </c>
      <c r="V422">
        <f t="shared" si="13"/>
        <v>15.875</v>
      </c>
      <c r="W422" t="str">
        <f t="shared" si="14"/>
        <v>0.625" (15.875 mm)</v>
      </c>
    </row>
    <row r="423" spans="18:23">
      <c r="R423">
        <v>445</v>
      </c>
      <c r="S423">
        <v>0.625</v>
      </c>
      <c r="T423">
        <v>0.25</v>
      </c>
      <c r="U423">
        <v>0.375</v>
      </c>
      <c r="V423">
        <f t="shared" si="13"/>
        <v>15.875</v>
      </c>
      <c r="W423" t="str">
        <f t="shared" si="14"/>
        <v>0.625" (15.875 mm)</v>
      </c>
    </row>
    <row r="424" spans="18:23">
      <c r="R424">
        <v>446</v>
      </c>
      <c r="S424">
        <v>0.625</v>
      </c>
      <c r="T424">
        <v>0.25</v>
      </c>
      <c r="U424">
        <v>0.375</v>
      </c>
      <c r="V424">
        <f t="shared" si="13"/>
        <v>15.875</v>
      </c>
      <c r="W424" t="str">
        <f t="shared" si="14"/>
        <v>0.625" (15.875 mm)</v>
      </c>
    </row>
    <row r="425" spans="18:23">
      <c r="R425">
        <v>447</v>
      </c>
      <c r="S425">
        <v>0.625</v>
      </c>
      <c r="T425">
        <v>0.25</v>
      </c>
      <c r="U425">
        <v>0.375</v>
      </c>
      <c r="V425">
        <f t="shared" si="13"/>
        <v>15.875</v>
      </c>
      <c r="W425" t="str">
        <f t="shared" si="14"/>
        <v>0.625" (15.875 mm)</v>
      </c>
    </row>
    <row r="426" spans="18:23">
      <c r="R426">
        <v>448</v>
      </c>
      <c r="S426">
        <v>0.625</v>
      </c>
      <c r="T426">
        <v>0.25</v>
      </c>
      <c r="U426">
        <v>0.375</v>
      </c>
      <c r="V426">
        <f t="shared" si="13"/>
        <v>15.875</v>
      </c>
      <c r="W426" t="str">
        <f t="shared" si="14"/>
        <v>0.625" (15.875 mm)</v>
      </c>
    </row>
    <row r="427" spans="18:23">
      <c r="R427">
        <v>449</v>
      </c>
      <c r="S427">
        <v>0.625</v>
      </c>
      <c r="T427">
        <v>0.25</v>
      </c>
      <c r="U427">
        <v>0.375</v>
      </c>
      <c r="V427">
        <f t="shared" si="13"/>
        <v>15.875</v>
      </c>
      <c r="W427" t="str">
        <f t="shared" si="14"/>
        <v>0.625" (15.875 mm)</v>
      </c>
    </row>
    <row r="428" spans="18:23">
      <c r="R428">
        <v>450</v>
      </c>
      <c r="S428">
        <v>0.625</v>
      </c>
      <c r="T428">
        <v>0.25</v>
      </c>
      <c r="U428">
        <v>0.375</v>
      </c>
      <c r="V428">
        <f t="shared" si="13"/>
        <v>15.875</v>
      </c>
      <c r="W428" t="str">
        <f t="shared" si="14"/>
        <v>0.625" (15.875 mm)</v>
      </c>
    </row>
    <row r="429" spans="18:23">
      <c r="R429">
        <v>451</v>
      </c>
      <c r="S429">
        <v>0.625</v>
      </c>
      <c r="T429">
        <v>0.25</v>
      </c>
      <c r="U429">
        <v>0.375</v>
      </c>
      <c r="V429">
        <f t="shared" si="13"/>
        <v>15.875</v>
      </c>
      <c r="W429" t="str">
        <f t="shared" si="14"/>
        <v>0.625" (15.875 mm)</v>
      </c>
    </row>
    <row r="430" spans="18:23">
      <c r="R430">
        <v>452</v>
      </c>
      <c r="S430">
        <v>0.625</v>
      </c>
      <c r="T430">
        <v>0.25</v>
      </c>
      <c r="U430">
        <v>0.375</v>
      </c>
      <c r="V430">
        <f t="shared" si="13"/>
        <v>15.875</v>
      </c>
      <c r="W430" t="str">
        <f t="shared" si="14"/>
        <v>0.625" (15.875 mm)</v>
      </c>
    </row>
    <row r="431" spans="18:23">
      <c r="R431">
        <v>453</v>
      </c>
      <c r="S431">
        <v>0.625</v>
      </c>
      <c r="T431">
        <v>0.25</v>
      </c>
      <c r="U431">
        <v>0.375</v>
      </c>
      <c r="V431">
        <f t="shared" si="13"/>
        <v>15.875</v>
      </c>
      <c r="W431" t="str">
        <f t="shared" si="14"/>
        <v>0.625" (15.875 mm)</v>
      </c>
    </row>
    <row r="432" spans="18:23">
      <c r="R432">
        <v>454</v>
      </c>
      <c r="S432">
        <v>0.625</v>
      </c>
      <c r="T432">
        <v>0.25</v>
      </c>
      <c r="U432">
        <v>0.375</v>
      </c>
      <c r="V432">
        <f t="shared" si="13"/>
        <v>15.875</v>
      </c>
      <c r="W432" t="str">
        <f t="shared" si="14"/>
        <v>0.625" (15.875 mm)</v>
      </c>
    </row>
    <row r="433" spans="18:23">
      <c r="R433">
        <v>455</v>
      </c>
      <c r="S433">
        <v>0.625</v>
      </c>
      <c r="T433">
        <v>0.25</v>
      </c>
      <c r="U433">
        <v>0.375</v>
      </c>
      <c r="V433">
        <f t="shared" si="13"/>
        <v>15.875</v>
      </c>
      <c r="W433" t="str">
        <f t="shared" si="14"/>
        <v>0.625" (15.875 mm)</v>
      </c>
    </row>
    <row r="434" spans="18:23">
      <c r="R434">
        <v>456</v>
      </c>
      <c r="S434">
        <v>0.625</v>
      </c>
      <c r="T434">
        <v>0.25</v>
      </c>
      <c r="U434">
        <v>0.375</v>
      </c>
      <c r="V434">
        <f t="shared" si="13"/>
        <v>15.875</v>
      </c>
      <c r="W434" t="str">
        <f t="shared" si="14"/>
        <v>0.625" (15.875 mm)</v>
      </c>
    </row>
    <row r="435" spans="18:23">
      <c r="R435">
        <v>457</v>
      </c>
      <c r="S435">
        <v>0.625</v>
      </c>
      <c r="T435">
        <v>0.25</v>
      </c>
      <c r="U435">
        <v>0.375</v>
      </c>
      <c r="V435">
        <f t="shared" si="13"/>
        <v>15.875</v>
      </c>
      <c r="W435" t="str">
        <f t="shared" si="14"/>
        <v>0.625" (15.875 mm)</v>
      </c>
    </row>
    <row r="436" spans="18:23">
      <c r="R436">
        <v>458</v>
      </c>
      <c r="S436">
        <v>0.625</v>
      </c>
      <c r="T436">
        <v>0.25</v>
      </c>
      <c r="U436">
        <v>0.375</v>
      </c>
      <c r="V436">
        <f t="shared" si="13"/>
        <v>15.875</v>
      </c>
      <c r="W436" t="str">
        <f t="shared" si="14"/>
        <v>0.625" (15.875 mm)</v>
      </c>
    </row>
    <row r="437" spans="18:23">
      <c r="R437">
        <v>459</v>
      </c>
      <c r="S437">
        <v>0.625</v>
      </c>
      <c r="T437">
        <v>0.25</v>
      </c>
      <c r="U437">
        <v>0.375</v>
      </c>
      <c r="V437">
        <f t="shared" si="13"/>
        <v>15.875</v>
      </c>
      <c r="W437" t="str">
        <f t="shared" si="14"/>
        <v>0.625" (15.875 mm)</v>
      </c>
    </row>
    <row r="438" spans="18:23">
      <c r="R438">
        <v>460</v>
      </c>
      <c r="S438">
        <v>0.625</v>
      </c>
      <c r="T438">
        <v>0.25</v>
      </c>
      <c r="U438">
        <v>0.375</v>
      </c>
      <c r="V438">
        <f t="shared" si="13"/>
        <v>15.875</v>
      </c>
      <c r="W438" t="str">
        <f t="shared" si="14"/>
        <v>0.625" (15.875 mm)</v>
      </c>
    </row>
    <row r="439" spans="18:23">
      <c r="R439">
        <v>461</v>
      </c>
      <c r="S439">
        <v>0.625</v>
      </c>
      <c r="T439">
        <v>0.25</v>
      </c>
      <c r="U439">
        <v>0.375</v>
      </c>
      <c r="V439">
        <f t="shared" si="13"/>
        <v>15.875</v>
      </c>
      <c r="W439" t="str">
        <f t="shared" si="14"/>
        <v>0.625" (15.875 mm)</v>
      </c>
    </row>
    <row r="440" spans="18:23">
      <c r="R440">
        <v>462</v>
      </c>
      <c r="S440">
        <v>0.625</v>
      </c>
      <c r="T440">
        <v>0.25</v>
      </c>
      <c r="U440">
        <v>0.375</v>
      </c>
      <c r="V440">
        <f t="shared" si="13"/>
        <v>15.875</v>
      </c>
      <c r="W440" t="str">
        <f t="shared" si="14"/>
        <v>0.625" (15.875 mm)</v>
      </c>
    </row>
    <row r="441" spans="18:23">
      <c r="R441">
        <v>463</v>
      </c>
      <c r="S441">
        <v>0.625</v>
      </c>
      <c r="T441">
        <v>0.25</v>
      </c>
      <c r="U441">
        <v>0.375</v>
      </c>
      <c r="V441">
        <f t="shared" si="13"/>
        <v>15.875</v>
      </c>
      <c r="W441" t="str">
        <f t="shared" si="14"/>
        <v>0.625" (15.875 mm)</v>
      </c>
    </row>
    <row r="442" spans="18:23">
      <c r="R442">
        <v>464</v>
      </c>
      <c r="S442">
        <v>0.625</v>
      </c>
      <c r="T442">
        <v>0.25</v>
      </c>
      <c r="U442">
        <v>0.375</v>
      </c>
      <c r="V442">
        <f t="shared" si="13"/>
        <v>15.875</v>
      </c>
      <c r="W442" t="str">
        <f t="shared" si="14"/>
        <v>0.625" (15.875 mm)</v>
      </c>
    </row>
    <row r="443" spans="18:23">
      <c r="R443">
        <v>465</v>
      </c>
      <c r="S443">
        <v>0.625</v>
      </c>
      <c r="T443">
        <v>0.25</v>
      </c>
      <c r="U443">
        <v>0.375</v>
      </c>
      <c r="V443">
        <f t="shared" si="13"/>
        <v>15.875</v>
      </c>
      <c r="W443" t="str">
        <f t="shared" si="14"/>
        <v>0.625" (15.875 mm)</v>
      </c>
    </row>
    <row r="444" spans="18:23">
      <c r="R444">
        <v>466</v>
      </c>
      <c r="S444">
        <v>0.625</v>
      </c>
      <c r="T444">
        <v>0.25</v>
      </c>
      <c r="U444">
        <v>0.375</v>
      </c>
      <c r="V444">
        <f t="shared" si="13"/>
        <v>15.875</v>
      </c>
      <c r="W444" t="str">
        <f t="shared" si="14"/>
        <v>0.625" (15.875 mm)</v>
      </c>
    </row>
    <row r="445" spans="18:23">
      <c r="R445">
        <v>467</v>
      </c>
      <c r="S445">
        <v>0.625</v>
      </c>
      <c r="T445">
        <v>0.25</v>
      </c>
      <c r="U445">
        <v>0.375</v>
      </c>
      <c r="V445">
        <f t="shared" si="13"/>
        <v>15.875</v>
      </c>
      <c r="W445" t="str">
        <f t="shared" si="14"/>
        <v>0.625" (15.875 mm)</v>
      </c>
    </row>
    <row r="446" spans="18:23">
      <c r="R446">
        <v>468</v>
      </c>
      <c r="S446">
        <v>0.625</v>
      </c>
      <c r="T446">
        <v>0.25</v>
      </c>
      <c r="U446">
        <v>0.375</v>
      </c>
      <c r="V446">
        <f t="shared" si="13"/>
        <v>15.875</v>
      </c>
      <c r="W446" t="str">
        <f t="shared" si="14"/>
        <v>0.625" (15.875 mm)</v>
      </c>
    </row>
    <row r="447" spans="18:23">
      <c r="R447">
        <v>469</v>
      </c>
      <c r="S447">
        <v>0.625</v>
      </c>
      <c r="T447">
        <v>0.25</v>
      </c>
      <c r="U447">
        <v>0.375</v>
      </c>
      <c r="V447">
        <f t="shared" si="13"/>
        <v>15.875</v>
      </c>
      <c r="W447" t="str">
        <f t="shared" si="14"/>
        <v>0.625" (15.875 mm)</v>
      </c>
    </row>
    <row r="448" spans="18:23">
      <c r="R448">
        <v>470</v>
      </c>
      <c r="S448">
        <v>0.625</v>
      </c>
      <c r="T448">
        <v>0.25</v>
      </c>
      <c r="U448">
        <v>0.375</v>
      </c>
      <c r="V448">
        <f t="shared" si="13"/>
        <v>15.875</v>
      </c>
      <c r="W448" t="str">
        <f t="shared" si="14"/>
        <v>0.625" (15.875 mm)</v>
      </c>
    </row>
    <row r="449" spans="18:23">
      <c r="R449">
        <v>471</v>
      </c>
      <c r="S449">
        <v>0.625</v>
      </c>
      <c r="T449">
        <v>0.25</v>
      </c>
      <c r="U449">
        <v>0.375</v>
      </c>
      <c r="V449">
        <f t="shared" si="13"/>
        <v>15.875</v>
      </c>
      <c r="W449" t="str">
        <f t="shared" si="14"/>
        <v>0.625" (15.875 mm)</v>
      </c>
    </row>
    <row r="450" spans="18:23">
      <c r="R450">
        <v>472</v>
      </c>
      <c r="S450">
        <v>0.625</v>
      </c>
      <c r="T450">
        <v>0.25</v>
      </c>
      <c r="U450">
        <v>0.375</v>
      </c>
      <c r="V450">
        <f t="shared" ref="V450:V513" si="15">ROUND(S450*mm, 5)</f>
        <v>15.875</v>
      </c>
      <c r="W450" t="str">
        <f t="shared" si="14"/>
        <v>0.625" (15.875 mm)</v>
      </c>
    </row>
    <row r="451" spans="18:23">
      <c r="R451">
        <v>473</v>
      </c>
      <c r="S451">
        <v>0.625</v>
      </c>
      <c r="T451">
        <v>0.25</v>
      </c>
      <c r="U451">
        <v>0.375</v>
      </c>
      <c r="V451">
        <f t="shared" si="15"/>
        <v>15.875</v>
      </c>
      <c r="W451" t="str">
        <f t="shared" ref="W451:W514" si="16">S451&amp;""""&amp;" ("&amp;V451&amp;" mm)"</f>
        <v>0.625" (15.875 mm)</v>
      </c>
    </row>
    <row r="452" spans="18:23">
      <c r="R452">
        <v>474</v>
      </c>
      <c r="S452">
        <v>0.625</v>
      </c>
      <c r="T452">
        <v>0.25</v>
      </c>
      <c r="U452">
        <v>0.375</v>
      </c>
      <c r="V452">
        <f t="shared" si="15"/>
        <v>15.875</v>
      </c>
      <c r="W452" t="str">
        <f t="shared" si="16"/>
        <v>0.625" (15.875 mm)</v>
      </c>
    </row>
    <row r="453" spans="18:23">
      <c r="R453">
        <v>475</v>
      </c>
      <c r="S453">
        <v>0.625</v>
      </c>
      <c r="T453">
        <v>0.25</v>
      </c>
      <c r="U453">
        <v>0.375</v>
      </c>
      <c r="V453">
        <f t="shared" si="15"/>
        <v>15.875</v>
      </c>
      <c r="W453" t="str">
        <f t="shared" si="16"/>
        <v>0.625" (15.875 mm)</v>
      </c>
    </row>
    <row r="454" spans="18:23">
      <c r="R454">
        <v>476</v>
      </c>
      <c r="S454">
        <v>0.625</v>
      </c>
      <c r="T454">
        <v>0.25</v>
      </c>
      <c r="U454">
        <v>0.375</v>
      </c>
      <c r="V454">
        <f t="shared" si="15"/>
        <v>15.875</v>
      </c>
      <c r="W454" t="str">
        <f t="shared" si="16"/>
        <v>0.625" (15.875 mm)</v>
      </c>
    </row>
    <row r="455" spans="18:23">
      <c r="R455">
        <v>477</v>
      </c>
      <c r="S455">
        <v>0.625</v>
      </c>
      <c r="T455">
        <v>0.25</v>
      </c>
      <c r="U455">
        <v>0.375</v>
      </c>
      <c r="V455">
        <f t="shared" si="15"/>
        <v>15.875</v>
      </c>
      <c r="W455" t="str">
        <f t="shared" si="16"/>
        <v>0.625" (15.875 mm)</v>
      </c>
    </row>
    <row r="456" spans="18:23">
      <c r="R456">
        <v>478</v>
      </c>
      <c r="S456">
        <v>0.625</v>
      </c>
      <c r="T456">
        <v>0.25</v>
      </c>
      <c r="U456">
        <v>0.375</v>
      </c>
      <c r="V456">
        <f t="shared" si="15"/>
        <v>15.875</v>
      </c>
      <c r="W456" t="str">
        <f t="shared" si="16"/>
        <v>0.625" (15.875 mm)</v>
      </c>
    </row>
    <row r="457" spans="18:23">
      <c r="R457">
        <v>479</v>
      </c>
      <c r="S457">
        <v>0.625</v>
      </c>
      <c r="T457">
        <v>0.25</v>
      </c>
      <c r="U457">
        <v>0.375</v>
      </c>
      <c r="V457">
        <f t="shared" si="15"/>
        <v>15.875</v>
      </c>
      <c r="W457" t="str">
        <f t="shared" si="16"/>
        <v>0.625" (15.875 mm)</v>
      </c>
    </row>
    <row r="458" spans="18:23">
      <c r="R458">
        <v>480</v>
      </c>
      <c r="S458">
        <v>0.625</v>
      </c>
      <c r="T458">
        <v>0.25</v>
      </c>
      <c r="U458">
        <v>0.375</v>
      </c>
      <c r="V458">
        <f t="shared" si="15"/>
        <v>15.875</v>
      </c>
      <c r="W458" t="str">
        <f t="shared" si="16"/>
        <v>0.625" (15.875 mm)</v>
      </c>
    </row>
    <row r="459" spans="18:23">
      <c r="R459">
        <v>481</v>
      </c>
      <c r="S459">
        <v>0.625</v>
      </c>
      <c r="T459">
        <v>0.25</v>
      </c>
      <c r="U459">
        <v>0.375</v>
      </c>
      <c r="V459">
        <f t="shared" si="15"/>
        <v>15.875</v>
      </c>
      <c r="W459" t="str">
        <f t="shared" si="16"/>
        <v>0.625" (15.875 mm)</v>
      </c>
    </row>
    <row r="460" spans="18:23">
      <c r="R460">
        <v>482</v>
      </c>
      <c r="S460">
        <v>0.625</v>
      </c>
      <c r="T460">
        <v>0.25</v>
      </c>
      <c r="U460">
        <v>0.375</v>
      </c>
      <c r="V460">
        <f t="shared" si="15"/>
        <v>15.875</v>
      </c>
      <c r="W460" t="str">
        <f t="shared" si="16"/>
        <v>0.625" (15.875 mm)</v>
      </c>
    </row>
    <row r="461" spans="18:23">
      <c r="R461">
        <v>483</v>
      </c>
      <c r="S461">
        <v>0.625</v>
      </c>
      <c r="T461">
        <v>0.25</v>
      </c>
      <c r="U461">
        <v>0.375</v>
      </c>
      <c r="V461">
        <f t="shared" si="15"/>
        <v>15.875</v>
      </c>
      <c r="W461" t="str">
        <f t="shared" si="16"/>
        <v>0.625" (15.875 mm)</v>
      </c>
    </row>
    <row r="462" spans="18:23">
      <c r="R462">
        <v>484</v>
      </c>
      <c r="S462">
        <v>0.625</v>
      </c>
      <c r="T462">
        <v>0.25</v>
      </c>
      <c r="U462">
        <v>0.375</v>
      </c>
      <c r="V462">
        <f t="shared" si="15"/>
        <v>15.875</v>
      </c>
      <c r="W462" t="str">
        <f t="shared" si="16"/>
        <v>0.625" (15.875 mm)</v>
      </c>
    </row>
    <row r="463" spans="18:23">
      <c r="R463">
        <v>485</v>
      </c>
      <c r="S463">
        <v>0.625</v>
      </c>
      <c r="T463">
        <v>0.25</v>
      </c>
      <c r="U463">
        <v>0.375</v>
      </c>
      <c r="V463">
        <f t="shared" si="15"/>
        <v>15.875</v>
      </c>
      <c r="W463" t="str">
        <f t="shared" si="16"/>
        <v>0.625" (15.875 mm)</v>
      </c>
    </row>
    <row r="464" spans="18:23">
      <c r="R464">
        <v>486</v>
      </c>
      <c r="S464">
        <v>0.625</v>
      </c>
      <c r="T464">
        <v>0.25</v>
      </c>
      <c r="U464">
        <v>0.375</v>
      </c>
      <c r="V464">
        <f t="shared" si="15"/>
        <v>15.875</v>
      </c>
      <c r="W464" t="str">
        <f t="shared" si="16"/>
        <v>0.625" (15.875 mm)</v>
      </c>
    </row>
    <row r="465" spans="18:23">
      <c r="R465">
        <v>487</v>
      </c>
      <c r="S465">
        <v>0.625</v>
      </c>
      <c r="T465">
        <v>0.25</v>
      </c>
      <c r="U465">
        <v>0.375</v>
      </c>
      <c r="V465">
        <f t="shared" si="15"/>
        <v>15.875</v>
      </c>
      <c r="W465" t="str">
        <f t="shared" si="16"/>
        <v>0.625" (15.875 mm)</v>
      </c>
    </row>
    <row r="466" spans="18:23">
      <c r="R466">
        <v>488</v>
      </c>
      <c r="S466">
        <v>0.625</v>
      </c>
      <c r="T466">
        <v>0.25</v>
      </c>
      <c r="U466">
        <v>0.375</v>
      </c>
      <c r="V466">
        <f t="shared" si="15"/>
        <v>15.875</v>
      </c>
      <c r="W466" t="str">
        <f t="shared" si="16"/>
        <v>0.625" (15.875 mm)</v>
      </c>
    </row>
    <row r="467" spans="18:23">
      <c r="R467">
        <v>489</v>
      </c>
      <c r="S467">
        <v>0.625</v>
      </c>
      <c r="T467">
        <v>0.25</v>
      </c>
      <c r="U467">
        <v>0.375</v>
      </c>
      <c r="V467">
        <f t="shared" si="15"/>
        <v>15.875</v>
      </c>
      <c r="W467" t="str">
        <f t="shared" si="16"/>
        <v>0.625" (15.875 mm)</v>
      </c>
    </row>
    <row r="468" spans="18:23">
      <c r="R468">
        <v>490</v>
      </c>
      <c r="S468">
        <v>0.625</v>
      </c>
      <c r="T468">
        <v>0.25</v>
      </c>
      <c r="U468">
        <v>0.375</v>
      </c>
      <c r="V468">
        <f t="shared" si="15"/>
        <v>15.875</v>
      </c>
      <c r="W468" t="str">
        <f t="shared" si="16"/>
        <v>0.625" (15.875 mm)</v>
      </c>
    </row>
    <row r="469" spans="18:23">
      <c r="R469">
        <v>491</v>
      </c>
      <c r="S469">
        <v>0.625</v>
      </c>
      <c r="T469">
        <v>0.25</v>
      </c>
      <c r="U469">
        <v>0.375</v>
      </c>
      <c r="V469">
        <f t="shared" si="15"/>
        <v>15.875</v>
      </c>
      <c r="W469" t="str">
        <f t="shared" si="16"/>
        <v>0.625" (15.875 mm)</v>
      </c>
    </row>
    <row r="470" spans="18:23">
      <c r="R470">
        <v>492</v>
      </c>
      <c r="S470">
        <v>0.625</v>
      </c>
      <c r="T470">
        <v>0.25</v>
      </c>
      <c r="U470">
        <v>0.375</v>
      </c>
      <c r="V470">
        <f t="shared" si="15"/>
        <v>15.875</v>
      </c>
      <c r="W470" t="str">
        <f t="shared" si="16"/>
        <v>0.625" (15.875 mm)</v>
      </c>
    </row>
    <row r="471" spans="18:23">
      <c r="R471">
        <v>493</v>
      </c>
      <c r="S471">
        <v>0.625</v>
      </c>
      <c r="T471">
        <v>0.25</v>
      </c>
      <c r="U471">
        <v>0.375</v>
      </c>
      <c r="V471">
        <f t="shared" si="15"/>
        <v>15.875</v>
      </c>
      <c r="W471" t="str">
        <f t="shared" si="16"/>
        <v>0.625" (15.875 mm)</v>
      </c>
    </row>
    <row r="472" spans="18:23">
      <c r="R472">
        <v>494</v>
      </c>
      <c r="S472">
        <v>0.625</v>
      </c>
      <c r="T472">
        <v>0.25</v>
      </c>
      <c r="U472">
        <v>0.375</v>
      </c>
      <c r="V472">
        <f t="shared" si="15"/>
        <v>15.875</v>
      </c>
      <c r="W472" t="str">
        <f t="shared" si="16"/>
        <v>0.625" (15.875 mm)</v>
      </c>
    </row>
    <row r="473" spans="18:23">
      <c r="R473">
        <v>495</v>
      </c>
      <c r="S473">
        <v>0.625</v>
      </c>
      <c r="T473">
        <v>0.25</v>
      </c>
      <c r="U473">
        <v>0.375</v>
      </c>
      <c r="V473">
        <f t="shared" si="15"/>
        <v>15.875</v>
      </c>
      <c r="W473" t="str">
        <f t="shared" si="16"/>
        <v>0.625" (15.875 mm)</v>
      </c>
    </row>
    <row r="474" spans="18:23">
      <c r="R474">
        <v>496</v>
      </c>
      <c r="S474">
        <v>0.625</v>
      </c>
      <c r="T474">
        <v>0.25</v>
      </c>
      <c r="U474">
        <v>0.375</v>
      </c>
      <c r="V474">
        <f t="shared" si="15"/>
        <v>15.875</v>
      </c>
      <c r="W474" t="str">
        <f t="shared" si="16"/>
        <v>0.625" (15.875 mm)</v>
      </c>
    </row>
    <row r="475" spans="18:23">
      <c r="R475">
        <v>497</v>
      </c>
      <c r="S475">
        <v>0.625</v>
      </c>
      <c r="T475">
        <v>0.25</v>
      </c>
      <c r="U475">
        <v>0.375</v>
      </c>
      <c r="V475">
        <f t="shared" si="15"/>
        <v>15.875</v>
      </c>
      <c r="W475" t="str">
        <f t="shared" si="16"/>
        <v>0.625" (15.875 mm)</v>
      </c>
    </row>
    <row r="476" spans="18:23">
      <c r="R476">
        <v>498</v>
      </c>
      <c r="S476">
        <v>0.625</v>
      </c>
      <c r="T476">
        <v>0.25</v>
      </c>
      <c r="U476">
        <v>0.375</v>
      </c>
      <c r="V476">
        <f t="shared" si="15"/>
        <v>15.875</v>
      </c>
      <c r="W476" t="str">
        <f t="shared" si="16"/>
        <v>0.625" (15.875 mm)</v>
      </c>
    </row>
    <row r="477" spans="18:23">
      <c r="R477">
        <v>499</v>
      </c>
      <c r="S477">
        <v>0.625</v>
      </c>
      <c r="T477">
        <v>0.25</v>
      </c>
      <c r="U477">
        <v>0.375</v>
      </c>
      <c r="V477">
        <f t="shared" si="15"/>
        <v>15.875</v>
      </c>
      <c r="W477" t="str">
        <f t="shared" si="16"/>
        <v>0.625" (15.875 mm)</v>
      </c>
    </row>
    <row r="478" spans="18:23">
      <c r="R478">
        <v>500</v>
      </c>
      <c r="S478">
        <v>0.625</v>
      </c>
      <c r="T478">
        <v>0.25</v>
      </c>
      <c r="U478">
        <v>0.375</v>
      </c>
      <c r="V478">
        <f t="shared" si="15"/>
        <v>15.875</v>
      </c>
      <c r="W478" t="str">
        <f t="shared" si="16"/>
        <v>0.625" (15.875 mm)</v>
      </c>
    </row>
    <row r="479" spans="18:23">
      <c r="R479">
        <v>501</v>
      </c>
      <c r="S479">
        <v>0.75</v>
      </c>
      <c r="T479">
        <v>0.25</v>
      </c>
      <c r="U479">
        <v>0.375</v>
      </c>
      <c r="V479">
        <f t="shared" si="15"/>
        <v>19.05</v>
      </c>
      <c r="W479" t="str">
        <f t="shared" si="16"/>
        <v>0.75" (19.05 mm)</v>
      </c>
    </row>
    <row r="480" spans="18:23">
      <c r="R480">
        <v>502</v>
      </c>
      <c r="S480">
        <v>0.75</v>
      </c>
      <c r="T480">
        <v>0.25</v>
      </c>
      <c r="U480">
        <v>0.375</v>
      </c>
      <c r="V480">
        <f t="shared" si="15"/>
        <v>19.05</v>
      </c>
      <c r="W480" t="str">
        <f t="shared" si="16"/>
        <v>0.75" (19.05 mm)</v>
      </c>
    </row>
    <row r="481" spans="18:23">
      <c r="R481">
        <v>503</v>
      </c>
      <c r="S481">
        <v>0.75</v>
      </c>
      <c r="T481">
        <v>0.25</v>
      </c>
      <c r="U481">
        <v>0.375</v>
      </c>
      <c r="V481">
        <f t="shared" si="15"/>
        <v>19.05</v>
      </c>
      <c r="W481" t="str">
        <f t="shared" si="16"/>
        <v>0.75" (19.05 mm)</v>
      </c>
    </row>
    <row r="482" spans="18:23">
      <c r="R482">
        <v>504</v>
      </c>
      <c r="S482">
        <v>0.75</v>
      </c>
      <c r="T482">
        <v>0.25</v>
      </c>
      <c r="U482">
        <v>0.375</v>
      </c>
      <c r="V482">
        <f t="shared" si="15"/>
        <v>19.05</v>
      </c>
      <c r="W482" t="str">
        <f t="shared" si="16"/>
        <v>0.75" (19.05 mm)</v>
      </c>
    </row>
    <row r="483" spans="18:23">
      <c r="R483">
        <v>505</v>
      </c>
      <c r="S483">
        <v>0.75</v>
      </c>
      <c r="T483">
        <v>0.25</v>
      </c>
      <c r="U483">
        <v>0.375</v>
      </c>
      <c r="V483">
        <f t="shared" si="15"/>
        <v>19.05</v>
      </c>
      <c r="W483" t="str">
        <f t="shared" si="16"/>
        <v>0.75" (19.05 mm)</v>
      </c>
    </row>
    <row r="484" spans="18:23">
      <c r="R484">
        <v>506</v>
      </c>
      <c r="S484">
        <v>0.75</v>
      </c>
      <c r="T484">
        <v>0.25</v>
      </c>
      <c r="U484">
        <v>0.375</v>
      </c>
      <c r="V484">
        <f t="shared" si="15"/>
        <v>19.05</v>
      </c>
      <c r="W484" t="str">
        <f t="shared" si="16"/>
        <v>0.75" (19.05 mm)</v>
      </c>
    </row>
    <row r="485" spans="18:23">
      <c r="R485">
        <v>507</v>
      </c>
      <c r="S485">
        <v>0.75</v>
      </c>
      <c r="T485">
        <v>0.25</v>
      </c>
      <c r="U485">
        <v>0.375</v>
      </c>
      <c r="V485">
        <f t="shared" si="15"/>
        <v>19.05</v>
      </c>
      <c r="W485" t="str">
        <f t="shared" si="16"/>
        <v>0.75" (19.05 mm)</v>
      </c>
    </row>
    <row r="486" spans="18:23">
      <c r="R486">
        <v>508</v>
      </c>
      <c r="S486">
        <v>0.75</v>
      </c>
      <c r="T486">
        <v>0.25</v>
      </c>
      <c r="U486">
        <v>0.375</v>
      </c>
      <c r="V486">
        <f t="shared" si="15"/>
        <v>19.05</v>
      </c>
      <c r="W486" t="str">
        <f t="shared" si="16"/>
        <v>0.75" (19.05 mm)</v>
      </c>
    </row>
    <row r="487" spans="18:23">
      <c r="R487">
        <v>509</v>
      </c>
      <c r="S487">
        <v>0.75</v>
      </c>
      <c r="T487">
        <v>0.25</v>
      </c>
      <c r="U487">
        <v>0.375</v>
      </c>
      <c r="V487">
        <f t="shared" si="15"/>
        <v>19.05</v>
      </c>
      <c r="W487" t="str">
        <f t="shared" si="16"/>
        <v>0.75" (19.05 mm)</v>
      </c>
    </row>
    <row r="488" spans="18:23">
      <c r="R488">
        <v>510</v>
      </c>
      <c r="S488">
        <v>0.75</v>
      </c>
      <c r="T488">
        <v>0.25</v>
      </c>
      <c r="U488">
        <v>0.375</v>
      </c>
      <c r="V488">
        <f t="shared" si="15"/>
        <v>19.05</v>
      </c>
      <c r="W488" t="str">
        <f t="shared" si="16"/>
        <v>0.75" (19.05 mm)</v>
      </c>
    </row>
    <row r="489" spans="18:23">
      <c r="R489">
        <v>511</v>
      </c>
      <c r="S489">
        <v>0.75</v>
      </c>
      <c r="T489">
        <v>0.25</v>
      </c>
      <c r="U489">
        <v>0.375</v>
      </c>
      <c r="V489">
        <f t="shared" si="15"/>
        <v>19.05</v>
      </c>
      <c r="W489" t="str">
        <f t="shared" si="16"/>
        <v>0.75" (19.05 mm)</v>
      </c>
    </row>
    <row r="490" spans="18:23">
      <c r="R490">
        <v>512</v>
      </c>
      <c r="S490">
        <v>0.75</v>
      </c>
      <c r="T490">
        <v>0.25</v>
      </c>
      <c r="U490">
        <v>0.375</v>
      </c>
      <c r="V490">
        <f t="shared" si="15"/>
        <v>19.05</v>
      </c>
      <c r="W490" t="str">
        <f t="shared" si="16"/>
        <v>0.75" (19.05 mm)</v>
      </c>
    </row>
    <row r="491" spans="18:23">
      <c r="R491">
        <v>513</v>
      </c>
      <c r="S491">
        <v>0.75</v>
      </c>
      <c r="T491">
        <v>0.25</v>
      </c>
      <c r="U491">
        <v>0.375</v>
      </c>
      <c r="V491">
        <f t="shared" si="15"/>
        <v>19.05</v>
      </c>
      <c r="W491" t="str">
        <f t="shared" si="16"/>
        <v>0.75" (19.05 mm)</v>
      </c>
    </row>
    <row r="492" spans="18:23">
      <c r="R492">
        <v>514</v>
      </c>
      <c r="S492">
        <v>0.75</v>
      </c>
      <c r="T492">
        <v>0.25</v>
      </c>
      <c r="U492">
        <v>0.375</v>
      </c>
      <c r="V492">
        <f t="shared" si="15"/>
        <v>19.05</v>
      </c>
      <c r="W492" t="str">
        <f t="shared" si="16"/>
        <v>0.75" (19.05 mm)</v>
      </c>
    </row>
    <row r="493" spans="18:23">
      <c r="R493">
        <v>515</v>
      </c>
      <c r="S493">
        <v>0.75</v>
      </c>
      <c r="T493">
        <v>0.25</v>
      </c>
      <c r="U493">
        <v>0.375</v>
      </c>
      <c r="V493">
        <f t="shared" si="15"/>
        <v>19.05</v>
      </c>
      <c r="W493" t="str">
        <f t="shared" si="16"/>
        <v>0.75" (19.05 mm)</v>
      </c>
    </row>
    <row r="494" spans="18:23">
      <c r="R494">
        <v>516</v>
      </c>
      <c r="S494">
        <v>0.75</v>
      </c>
      <c r="T494">
        <v>0.25</v>
      </c>
      <c r="U494">
        <v>0.375</v>
      </c>
      <c r="V494">
        <f t="shared" si="15"/>
        <v>19.05</v>
      </c>
      <c r="W494" t="str">
        <f t="shared" si="16"/>
        <v>0.75" (19.05 mm)</v>
      </c>
    </row>
    <row r="495" spans="18:23">
      <c r="R495">
        <v>517</v>
      </c>
      <c r="S495">
        <v>0.75</v>
      </c>
      <c r="T495">
        <v>0.25</v>
      </c>
      <c r="U495">
        <v>0.375</v>
      </c>
      <c r="V495">
        <f t="shared" si="15"/>
        <v>19.05</v>
      </c>
      <c r="W495" t="str">
        <f t="shared" si="16"/>
        <v>0.75" (19.05 mm)</v>
      </c>
    </row>
    <row r="496" spans="18:23">
      <c r="R496">
        <v>518</v>
      </c>
      <c r="S496">
        <v>0.75</v>
      </c>
      <c r="T496">
        <v>0.25</v>
      </c>
      <c r="U496">
        <v>0.375</v>
      </c>
      <c r="V496">
        <f t="shared" si="15"/>
        <v>19.05</v>
      </c>
      <c r="W496" t="str">
        <f t="shared" si="16"/>
        <v>0.75" (19.05 mm)</v>
      </c>
    </row>
    <row r="497" spans="18:23">
      <c r="R497">
        <v>519</v>
      </c>
      <c r="S497">
        <v>0.75</v>
      </c>
      <c r="T497">
        <v>0.25</v>
      </c>
      <c r="U497">
        <v>0.375</v>
      </c>
      <c r="V497">
        <f t="shared" si="15"/>
        <v>19.05</v>
      </c>
      <c r="W497" t="str">
        <f t="shared" si="16"/>
        <v>0.75" (19.05 mm)</v>
      </c>
    </row>
    <row r="498" spans="18:23">
      <c r="R498">
        <v>520</v>
      </c>
      <c r="S498">
        <v>0.75</v>
      </c>
      <c r="T498">
        <v>0.25</v>
      </c>
      <c r="U498">
        <v>0.375</v>
      </c>
      <c r="V498">
        <f t="shared" si="15"/>
        <v>19.05</v>
      </c>
      <c r="W498" t="str">
        <f t="shared" si="16"/>
        <v>0.75" (19.05 mm)</v>
      </c>
    </row>
    <row r="499" spans="18:23">
      <c r="R499">
        <v>521</v>
      </c>
      <c r="S499">
        <v>0.75</v>
      </c>
      <c r="T499">
        <v>0.25</v>
      </c>
      <c r="U499">
        <v>0.375</v>
      </c>
      <c r="V499">
        <f t="shared" si="15"/>
        <v>19.05</v>
      </c>
      <c r="W499" t="str">
        <f t="shared" si="16"/>
        <v>0.75" (19.05 mm)</v>
      </c>
    </row>
    <row r="500" spans="18:23">
      <c r="R500">
        <v>522</v>
      </c>
      <c r="S500">
        <v>0.75</v>
      </c>
      <c r="T500">
        <v>0.25</v>
      </c>
      <c r="U500">
        <v>0.375</v>
      </c>
      <c r="V500">
        <f t="shared" si="15"/>
        <v>19.05</v>
      </c>
      <c r="W500" t="str">
        <f t="shared" si="16"/>
        <v>0.75" (19.05 mm)</v>
      </c>
    </row>
    <row r="501" spans="18:23">
      <c r="R501">
        <v>523</v>
      </c>
      <c r="S501">
        <v>0.75</v>
      </c>
      <c r="T501">
        <v>0.25</v>
      </c>
      <c r="U501">
        <v>0.375</v>
      </c>
      <c r="V501">
        <f t="shared" si="15"/>
        <v>19.05</v>
      </c>
      <c r="W501" t="str">
        <f t="shared" si="16"/>
        <v>0.75" (19.05 mm)</v>
      </c>
    </row>
    <row r="502" spans="18:23">
      <c r="R502">
        <v>524</v>
      </c>
      <c r="S502">
        <v>0.75</v>
      </c>
      <c r="T502">
        <v>0.25</v>
      </c>
      <c r="U502">
        <v>0.375</v>
      </c>
      <c r="V502">
        <f t="shared" si="15"/>
        <v>19.05</v>
      </c>
      <c r="W502" t="str">
        <f t="shared" si="16"/>
        <v>0.75" (19.05 mm)</v>
      </c>
    </row>
    <row r="503" spans="18:23">
      <c r="R503">
        <v>525</v>
      </c>
      <c r="S503">
        <v>0.75</v>
      </c>
      <c r="T503">
        <v>0.25</v>
      </c>
      <c r="U503">
        <v>0.375</v>
      </c>
      <c r="V503">
        <f t="shared" si="15"/>
        <v>19.05</v>
      </c>
      <c r="W503" t="str">
        <f t="shared" si="16"/>
        <v>0.75" (19.05 mm)</v>
      </c>
    </row>
    <row r="504" spans="18:23">
      <c r="R504">
        <v>526</v>
      </c>
      <c r="S504">
        <v>0.75</v>
      </c>
      <c r="T504">
        <v>0.25</v>
      </c>
      <c r="U504">
        <v>0.375</v>
      </c>
      <c r="V504">
        <f t="shared" si="15"/>
        <v>19.05</v>
      </c>
      <c r="W504" t="str">
        <f t="shared" si="16"/>
        <v>0.75" (19.05 mm)</v>
      </c>
    </row>
    <row r="505" spans="18:23">
      <c r="R505">
        <v>527</v>
      </c>
      <c r="S505">
        <v>0.75</v>
      </c>
      <c r="T505">
        <v>0.25</v>
      </c>
      <c r="U505">
        <v>0.375</v>
      </c>
      <c r="V505">
        <f t="shared" si="15"/>
        <v>19.05</v>
      </c>
      <c r="W505" t="str">
        <f t="shared" si="16"/>
        <v>0.75" (19.05 mm)</v>
      </c>
    </row>
    <row r="506" spans="18:23">
      <c r="R506">
        <v>528</v>
      </c>
      <c r="S506">
        <v>0.75</v>
      </c>
      <c r="T506">
        <v>0.25</v>
      </c>
      <c r="U506">
        <v>0.375</v>
      </c>
      <c r="V506">
        <f t="shared" si="15"/>
        <v>19.05</v>
      </c>
      <c r="W506" t="str">
        <f t="shared" si="16"/>
        <v>0.75" (19.05 mm)</v>
      </c>
    </row>
    <row r="507" spans="18:23">
      <c r="R507">
        <v>529</v>
      </c>
      <c r="S507">
        <v>0.75</v>
      </c>
      <c r="T507">
        <v>0.25</v>
      </c>
      <c r="U507">
        <v>0.375</v>
      </c>
      <c r="V507">
        <f t="shared" si="15"/>
        <v>19.05</v>
      </c>
      <c r="W507" t="str">
        <f t="shared" si="16"/>
        <v>0.75" (19.05 mm)</v>
      </c>
    </row>
    <row r="508" spans="18:23">
      <c r="R508">
        <v>530</v>
      </c>
      <c r="S508">
        <v>0.75</v>
      </c>
      <c r="T508">
        <v>0.25</v>
      </c>
      <c r="U508">
        <v>0.375</v>
      </c>
      <c r="V508">
        <f t="shared" si="15"/>
        <v>19.05</v>
      </c>
      <c r="W508" t="str">
        <f t="shared" si="16"/>
        <v>0.75" (19.05 mm)</v>
      </c>
    </row>
    <row r="509" spans="18:23">
      <c r="R509">
        <v>531</v>
      </c>
      <c r="S509">
        <v>0.75</v>
      </c>
      <c r="T509">
        <v>0.25</v>
      </c>
      <c r="U509">
        <v>0.375</v>
      </c>
      <c r="V509">
        <f t="shared" si="15"/>
        <v>19.05</v>
      </c>
      <c r="W509" t="str">
        <f t="shared" si="16"/>
        <v>0.75" (19.05 mm)</v>
      </c>
    </row>
    <row r="510" spans="18:23">
      <c r="R510">
        <v>532</v>
      </c>
      <c r="S510">
        <v>0.75</v>
      </c>
      <c r="T510">
        <v>0.25</v>
      </c>
      <c r="U510">
        <v>0.375</v>
      </c>
      <c r="V510">
        <f t="shared" si="15"/>
        <v>19.05</v>
      </c>
      <c r="W510" t="str">
        <f t="shared" si="16"/>
        <v>0.75" (19.05 mm)</v>
      </c>
    </row>
    <row r="511" spans="18:23">
      <c r="R511">
        <v>533</v>
      </c>
      <c r="S511">
        <v>0.75</v>
      </c>
      <c r="T511">
        <v>0.25</v>
      </c>
      <c r="U511">
        <v>0.375</v>
      </c>
      <c r="V511">
        <f t="shared" si="15"/>
        <v>19.05</v>
      </c>
      <c r="W511" t="str">
        <f t="shared" si="16"/>
        <v>0.75" (19.05 mm)</v>
      </c>
    </row>
    <row r="512" spans="18:23">
      <c r="R512">
        <v>534</v>
      </c>
      <c r="S512">
        <v>0.75</v>
      </c>
      <c r="T512">
        <v>0.25</v>
      </c>
      <c r="U512">
        <v>0.375</v>
      </c>
      <c r="V512">
        <f t="shared" si="15"/>
        <v>19.05</v>
      </c>
      <c r="W512" t="str">
        <f t="shared" si="16"/>
        <v>0.75" (19.05 mm)</v>
      </c>
    </row>
    <row r="513" spans="18:23">
      <c r="R513">
        <v>535</v>
      </c>
      <c r="S513">
        <v>0.75</v>
      </c>
      <c r="T513">
        <v>0.25</v>
      </c>
      <c r="U513">
        <v>0.375</v>
      </c>
      <c r="V513">
        <f t="shared" si="15"/>
        <v>19.05</v>
      </c>
      <c r="W513" t="str">
        <f t="shared" si="16"/>
        <v>0.75" (19.05 mm)</v>
      </c>
    </row>
    <row r="514" spans="18:23">
      <c r="R514">
        <v>536</v>
      </c>
      <c r="S514">
        <v>0.75</v>
      </c>
      <c r="T514">
        <v>0.25</v>
      </c>
      <c r="U514">
        <v>0.375</v>
      </c>
      <c r="V514">
        <f t="shared" ref="V514:V577" si="17">ROUND(S514*mm, 5)</f>
        <v>19.05</v>
      </c>
      <c r="W514" t="str">
        <f t="shared" si="16"/>
        <v>0.75" (19.05 mm)</v>
      </c>
    </row>
    <row r="515" spans="18:23">
      <c r="R515">
        <v>537</v>
      </c>
      <c r="S515">
        <v>0.75</v>
      </c>
      <c r="T515">
        <v>0.25</v>
      </c>
      <c r="U515">
        <v>0.375</v>
      </c>
      <c r="V515">
        <f t="shared" si="17"/>
        <v>19.05</v>
      </c>
      <c r="W515" t="str">
        <f t="shared" ref="W515:W578" si="18">S515&amp;""""&amp;" ("&amp;V515&amp;" mm)"</f>
        <v>0.75" (19.05 mm)</v>
      </c>
    </row>
    <row r="516" spans="18:23">
      <c r="R516">
        <v>538</v>
      </c>
      <c r="S516">
        <v>0.75</v>
      </c>
      <c r="T516">
        <v>0.25</v>
      </c>
      <c r="U516">
        <v>0.375</v>
      </c>
      <c r="V516">
        <f t="shared" si="17"/>
        <v>19.05</v>
      </c>
      <c r="W516" t="str">
        <f t="shared" si="18"/>
        <v>0.75" (19.05 mm)</v>
      </c>
    </row>
    <row r="517" spans="18:23">
      <c r="R517">
        <v>539</v>
      </c>
      <c r="S517">
        <v>0.75</v>
      </c>
      <c r="T517">
        <v>0.25</v>
      </c>
      <c r="U517">
        <v>0.375</v>
      </c>
      <c r="V517">
        <f t="shared" si="17"/>
        <v>19.05</v>
      </c>
      <c r="W517" t="str">
        <f t="shared" si="18"/>
        <v>0.75" (19.05 mm)</v>
      </c>
    </row>
    <row r="518" spans="18:23">
      <c r="R518">
        <v>540</v>
      </c>
      <c r="S518">
        <v>0.75</v>
      </c>
      <c r="T518">
        <v>0.25</v>
      </c>
      <c r="U518">
        <v>0.375</v>
      </c>
      <c r="V518">
        <f t="shared" si="17"/>
        <v>19.05</v>
      </c>
      <c r="W518" t="str">
        <f t="shared" si="18"/>
        <v>0.75" (19.05 mm)</v>
      </c>
    </row>
    <row r="519" spans="18:23">
      <c r="R519">
        <v>541</v>
      </c>
      <c r="S519">
        <v>0.75</v>
      </c>
      <c r="T519">
        <v>0.25</v>
      </c>
      <c r="U519">
        <v>0.375</v>
      </c>
      <c r="V519">
        <f t="shared" si="17"/>
        <v>19.05</v>
      </c>
      <c r="W519" t="str">
        <f t="shared" si="18"/>
        <v>0.75" (19.05 mm)</v>
      </c>
    </row>
    <row r="520" spans="18:23">
      <c r="R520">
        <v>542</v>
      </c>
      <c r="S520">
        <v>0.75</v>
      </c>
      <c r="T520">
        <v>0.25</v>
      </c>
      <c r="U520">
        <v>0.375</v>
      </c>
      <c r="V520">
        <f t="shared" si="17"/>
        <v>19.05</v>
      </c>
      <c r="W520" t="str">
        <f t="shared" si="18"/>
        <v>0.75" (19.05 mm)</v>
      </c>
    </row>
    <row r="521" spans="18:23">
      <c r="R521">
        <v>543</v>
      </c>
      <c r="S521">
        <v>0.75</v>
      </c>
      <c r="T521">
        <v>0.25</v>
      </c>
      <c r="U521">
        <v>0.375</v>
      </c>
      <c r="V521">
        <f t="shared" si="17"/>
        <v>19.05</v>
      </c>
      <c r="W521" t="str">
        <f t="shared" si="18"/>
        <v>0.75" (19.05 mm)</v>
      </c>
    </row>
    <row r="522" spans="18:23">
      <c r="R522">
        <v>544</v>
      </c>
      <c r="S522">
        <v>0.75</v>
      </c>
      <c r="T522">
        <v>0.25</v>
      </c>
      <c r="U522">
        <v>0.375</v>
      </c>
      <c r="V522">
        <f t="shared" si="17"/>
        <v>19.05</v>
      </c>
      <c r="W522" t="str">
        <f t="shared" si="18"/>
        <v>0.75" (19.05 mm)</v>
      </c>
    </row>
    <row r="523" spans="18:23">
      <c r="R523">
        <v>545</v>
      </c>
      <c r="S523">
        <v>0.75</v>
      </c>
      <c r="T523">
        <v>0.25</v>
      </c>
      <c r="U523">
        <v>0.375</v>
      </c>
      <c r="V523">
        <f t="shared" si="17"/>
        <v>19.05</v>
      </c>
      <c r="W523" t="str">
        <f t="shared" si="18"/>
        <v>0.75" (19.05 mm)</v>
      </c>
    </row>
    <row r="524" spans="18:23">
      <c r="R524">
        <v>546</v>
      </c>
      <c r="S524">
        <v>0.75</v>
      </c>
      <c r="T524">
        <v>0.25</v>
      </c>
      <c r="U524">
        <v>0.375</v>
      </c>
      <c r="V524">
        <f t="shared" si="17"/>
        <v>19.05</v>
      </c>
      <c r="W524" t="str">
        <f t="shared" si="18"/>
        <v>0.75" (19.05 mm)</v>
      </c>
    </row>
    <row r="525" spans="18:23">
      <c r="R525">
        <v>547</v>
      </c>
      <c r="S525">
        <v>0.75</v>
      </c>
      <c r="T525">
        <v>0.25</v>
      </c>
      <c r="U525">
        <v>0.375</v>
      </c>
      <c r="V525">
        <f t="shared" si="17"/>
        <v>19.05</v>
      </c>
      <c r="W525" t="str">
        <f t="shared" si="18"/>
        <v>0.75" (19.05 mm)</v>
      </c>
    </row>
    <row r="526" spans="18:23">
      <c r="R526">
        <v>548</v>
      </c>
      <c r="S526">
        <v>0.75</v>
      </c>
      <c r="T526">
        <v>0.25</v>
      </c>
      <c r="U526">
        <v>0.375</v>
      </c>
      <c r="V526">
        <f t="shared" si="17"/>
        <v>19.05</v>
      </c>
      <c r="W526" t="str">
        <f t="shared" si="18"/>
        <v>0.75" (19.05 mm)</v>
      </c>
    </row>
    <row r="527" spans="18:23">
      <c r="R527">
        <v>549</v>
      </c>
      <c r="S527">
        <v>0.75</v>
      </c>
      <c r="T527">
        <v>0.25</v>
      </c>
      <c r="U527">
        <v>0.375</v>
      </c>
      <c r="V527">
        <f t="shared" si="17"/>
        <v>19.05</v>
      </c>
      <c r="W527" t="str">
        <f t="shared" si="18"/>
        <v>0.75" (19.05 mm)</v>
      </c>
    </row>
    <row r="528" spans="18:23">
      <c r="R528">
        <v>550</v>
      </c>
      <c r="S528">
        <v>0.75</v>
      </c>
      <c r="T528">
        <v>0.25</v>
      </c>
      <c r="U528">
        <v>0.375</v>
      </c>
      <c r="V528">
        <f t="shared" si="17"/>
        <v>19.05</v>
      </c>
      <c r="W528" t="str">
        <f t="shared" si="18"/>
        <v>0.75" (19.05 mm)</v>
      </c>
    </row>
    <row r="529" spans="18:23">
      <c r="R529">
        <v>551</v>
      </c>
      <c r="S529">
        <v>0.75</v>
      </c>
      <c r="T529">
        <v>0.25</v>
      </c>
      <c r="U529">
        <v>0.375</v>
      </c>
      <c r="V529">
        <f t="shared" si="17"/>
        <v>19.05</v>
      </c>
      <c r="W529" t="str">
        <f t="shared" si="18"/>
        <v>0.75" (19.05 mm)</v>
      </c>
    </row>
    <row r="530" spans="18:23">
      <c r="R530">
        <v>552</v>
      </c>
      <c r="S530">
        <v>0.75</v>
      </c>
      <c r="T530">
        <v>0.25</v>
      </c>
      <c r="U530">
        <v>0.375</v>
      </c>
      <c r="V530">
        <f t="shared" si="17"/>
        <v>19.05</v>
      </c>
      <c r="W530" t="str">
        <f t="shared" si="18"/>
        <v>0.75" (19.05 mm)</v>
      </c>
    </row>
    <row r="531" spans="18:23">
      <c r="R531">
        <v>553</v>
      </c>
      <c r="S531">
        <v>0.75</v>
      </c>
      <c r="T531">
        <v>0.25</v>
      </c>
      <c r="U531">
        <v>0.375</v>
      </c>
      <c r="V531">
        <f t="shared" si="17"/>
        <v>19.05</v>
      </c>
      <c r="W531" t="str">
        <f t="shared" si="18"/>
        <v>0.75" (19.05 mm)</v>
      </c>
    </row>
    <row r="532" spans="18:23">
      <c r="R532">
        <v>554</v>
      </c>
      <c r="S532">
        <v>0.75</v>
      </c>
      <c r="T532">
        <v>0.25</v>
      </c>
      <c r="U532">
        <v>0.375</v>
      </c>
      <c r="V532">
        <f t="shared" si="17"/>
        <v>19.05</v>
      </c>
      <c r="W532" t="str">
        <f t="shared" si="18"/>
        <v>0.75" (19.05 mm)</v>
      </c>
    </row>
    <row r="533" spans="18:23">
      <c r="R533">
        <v>555</v>
      </c>
      <c r="S533">
        <v>0.75</v>
      </c>
      <c r="T533">
        <v>0.25</v>
      </c>
      <c r="U533">
        <v>0.375</v>
      </c>
      <c r="V533">
        <f t="shared" si="17"/>
        <v>19.05</v>
      </c>
      <c r="W533" t="str">
        <f t="shared" si="18"/>
        <v>0.75" (19.05 mm)</v>
      </c>
    </row>
    <row r="534" spans="18:23">
      <c r="R534">
        <v>556</v>
      </c>
      <c r="S534">
        <v>0.75</v>
      </c>
      <c r="T534">
        <v>0.25</v>
      </c>
      <c r="U534">
        <v>0.375</v>
      </c>
      <c r="V534">
        <f t="shared" si="17"/>
        <v>19.05</v>
      </c>
      <c r="W534" t="str">
        <f t="shared" si="18"/>
        <v>0.75" (19.05 mm)</v>
      </c>
    </row>
    <row r="535" spans="18:23">
      <c r="R535">
        <v>557</v>
      </c>
      <c r="S535">
        <v>0.75</v>
      </c>
      <c r="T535">
        <v>0.25</v>
      </c>
      <c r="U535">
        <v>0.375</v>
      </c>
      <c r="V535">
        <f t="shared" si="17"/>
        <v>19.05</v>
      </c>
      <c r="W535" t="str">
        <f t="shared" si="18"/>
        <v>0.75" (19.05 mm)</v>
      </c>
    </row>
    <row r="536" spans="18:23">
      <c r="R536">
        <v>558</v>
      </c>
      <c r="S536">
        <v>0.75</v>
      </c>
      <c r="T536">
        <v>0.25</v>
      </c>
      <c r="U536">
        <v>0.375</v>
      </c>
      <c r="V536">
        <f t="shared" si="17"/>
        <v>19.05</v>
      </c>
      <c r="W536" t="str">
        <f t="shared" si="18"/>
        <v>0.75" (19.05 mm)</v>
      </c>
    </row>
    <row r="537" spans="18:23">
      <c r="R537">
        <v>559</v>
      </c>
      <c r="S537">
        <v>0.75</v>
      </c>
      <c r="T537">
        <v>0.25</v>
      </c>
      <c r="U537">
        <v>0.375</v>
      </c>
      <c r="V537">
        <f t="shared" si="17"/>
        <v>19.05</v>
      </c>
      <c r="W537" t="str">
        <f t="shared" si="18"/>
        <v>0.75" (19.05 mm)</v>
      </c>
    </row>
    <row r="538" spans="18:23">
      <c r="R538">
        <v>560</v>
      </c>
      <c r="S538">
        <v>0.75</v>
      </c>
      <c r="T538">
        <v>0.25</v>
      </c>
      <c r="U538">
        <v>0.375</v>
      </c>
      <c r="V538">
        <f t="shared" si="17"/>
        <v>19.05</v>
      </c>
      <c r="W538" t="str">
        <f t="shared" si="18"/>
        <v>0.75" (19.05 mm)</v>
      </c>
    </row>
    <row r="539" spans="18:23">
      <c r="R539">
        <v>561</v>
      </c>
      <c r="S539">
        <v>0.75</v>
      </c>
      <c r="T539">
        <v>0.25</v>
      </c>
      <c r="U539">
        <v>0.375</v>
      </c>
      <c r="V539">
        <f t="shared" si="17"/>
        <v>19.05</v>
      </c>
      <c r="W539" t="str">
        <f t="shared" si="18"/>
        <v>0.75" (19.05 mm)</v>
      </c>
    </row>
    <row r="540" spans="18:23">
      <c r="R540">
        <v>562</v>
      </c>
      <c r="S540">
        <v>0.75</v>
      </c>
      <c r="T540">
        <v>0.25</v>
      </c>
      <c r="U540">
        <v>0.375</v>
      </c>
      <c r="V540">
        <f t="shared" si="17"/>
        <v>19.05</v>
      </c>
      <c r="W540" t="str">
        <f t="shared" si="18"/>
        <v>0.75" (19.05 mm)</v>
      </c>
    </row>
    <row r="541" spans="18:23">
      <c r="R541">
        <v>563</v>
      </c>
      <c r="S541">
        <v>0.75</v>
      </c>
      <c r="T541">
        <v>0.25</v>
      </c>
      <c r="U541">
        <v>0.375</v>
      </c>
      <c r="V541">
        <f t="shared" si="17"/>
        <v>19.05</v>
      </c>
      <c r="W541" t="str">
        <f t="shared" si="18"/>
        <v>0.75" (19.05 mm)</v>
      </c>
    </row>
    <row r="542" spans="18:23">
      <c r="R542">
        <v>564</v>
      </c>
      <c r="S542">
        <v>0.75</v>
      </c>
      <c r="T542">
        <v>0.25</v>
      </c>
      <c r="U542">
        <v>0.375</v>
      </c>
      <c r="V542">
        <f t="shared" si="17"/>
        <v>19.05</v>
      </c>
      <c r="W542" t="str">
        <f t="shared" si="18"/>
        <v>0.75" (19.05 mm)</v>
      </c>
    </row>
    <row r="543" spans="18:23">
      <c r="R543">
        <v>565</v>
      </c>
      <c r="S543">
        <v>0.75</v>
      </c>
      <c r="T543">
        <v>0.25</v>
      </c>
      <c r="U543">
        <v>0.375</v>
      </c>
      <c r="V543">
        <f t="shared" si="17"/>
        <v>19.05</v>
      </c>
      <c r="W543" t="str">
        <f t="shared" si="18"/>
        <v>0.75" (19.05 mm)</v>
      </c>
    </row>
    <row r="544" spans="18:23">
      <c r="R544">
        <v>566</v>
      </c>
      <c r="S544">
        <v>0.75</v>
      </c>
      <c r="T544">
        <v>0.25</v>
      </c>
      <c r="U544">
        <v>0.375</v>
      </c>
      <c r="V544">
        <f t="shared" si="17"/>
        <v>19.05</v>
      </c>
      <c r="W544" t="str">
        <f t="shared" si="18"/>
        <v>0.75" (19.05 mm)</v>
      </c>
    </row>
    <row r="545" spans="18:23">
      <c r="R545">
        <v>567</v>
      </c>
      <c r="S545">
        <v>0.75</v>
      </c>
      <c r="T545">
        <v>0.25</v>
      </c>
      <c r="U545">
        <v>0.375</v>
      </c>
      <c r="V545">
        <f t="shared" si="17"/>
        <v>19.05</v>
      </c>
      <c r="W545" t="str">
        <f t="shared" si="18"/>
        <v>0.75" (19.05 mm)</v>
      </c>
    </row>
    <row r="546" spans="18:23">
      <c r="R546">
        <v>568</v>
      </c>
      <c r="S546">
        <v>0.75</v>
      </c>
      <c r="T546">
        <v>0.25</v>
      </c>
      <c r="U546">
        <v>0.375</v>
      </c>
      <c r="V546">
        <f t="shared" si="17"/>
        <v>19.05</v>
      </c>
      <c r="W546" t="str">
        <f t="shared" si="18"/>
        <v>0.75" (19.05 mm)</v>
      </c>
    </row>
    <row r="547" spans="18:23">
      <c r="R547">
        <v>569</v>
      </c>
      <c r="S547">
        <v>0.75</v>
      </c>
      <c r="T547">
        <v>0.25</v>
      </c>
      <c r="U547">
        <v>0.375</v>
      </c>
      <c r="V547">
        <f t="shared" si="17"/>
        <v>19.05</v>
      </c>
      <c r="W547" t="str">
        <f t="shared" si="18"/>
        <v>0.75" (19.05 mm)</v>
      </c>
    </row>
    <row r="548" spans="18:23">
      <c r="R548">
        <v>570</v>
      </c>
      <c r="S548">
        <v>0.75</v>
      </c>
      <c r="T548">
        <v>0.25</v>
      </c>
      <c r="U548">
        <v>0.375</v>
      </c>
      <c r="V548">
        <f t="shared" si="17"/>
        <v>19.05</v>
      </c>
      <c r="W548" t="str">
        <f t="shared" si="18"/>
        <v>0.75" (19.05 mm)</v>
      </c>
    </row>
    <row r="549" spans="18:23">
      <c r="R549">
        <v>571</v>
      </c>
      <c r="S549">
        <v>0.75</v>
      </c>
      <c r="T549">
        <v>0.25</v>
      </c>
      <c r="U549">
        <v>0.375</v>
      </c>
      <c r="V549">
        <f t="shared" si="17"/>
        <v>19.05</v>
      </c>
      <c r="W549" t="str">
        <f t="shared" si="18"/>
        <v>0.75" (19.05 mm)</v>
      </c>
    </row>
    <row r="550" spans="18:23">
      <c r="R550">
        <v>572</v>
      </c>
      <c r="S550">
        <v>0.75</v>
      </c>
      <c r="T550">
        <v>0.25</v>
      </c>
      <c r="U550">
        <v>0.375</v>
      </c>
      <c r="V550">
        <f t="shared" si="17"/>
        <v>19.05</v>
      </c>
      <c r="W550" t="str">
        <f t="shared" si="18"/>
        <v>0.75" (19.05 mm)</v>
      </c>
    </row>
    <row r="551" spans="18:23">
      <c r="R551">
        <v>573</v>
      </c>
      <c r="S551">
        <v>0.75</v>
      </c>
      <c r="T551">
        <v>0.25</v>
      </c>
      <c r="U551">
        <v>0.375</v>
      </c>
      <c r="V551">
        <f t="shared" si="17"/>
        <v>19.05</v>
      </c>
      <c r="W551" t="str">
        <f t="shared" si="18"/>
        <v>0.75" (19.05 mm)</v>
      </c>
    </row>
    <row r="552" spans="18:23">
      <c r="R552">
        <v>574</v>
      </c>
      <c r="S552">
        <v>0.75</v>
      </c>
      <c r="T552">
        <v>0.25</v>
      </c>
      <c r="U552">
        <v>0.375</v>
      </c>
      <c r="V552">
        <f t="shared" si="17"/>
        <v>19.05</v>
      </c>
      <c r="W552" t="str">
        <f t="shared" si="18"/>
        <v>0.75" (19.05 mm)</v>
      </c>
    </row>
    <row r="553" spans="18:23">
      <c r="R553">
        <v>575</v>
      </c>
      <c r="S553">
        <v>0.75</v>
      </c>
      <c r="T553">
        <v>0.25</v>
      </c>
      <c r="U553">
        <v>0.375</v>
      </c>
      <c r="V553">
        <f t="shared" si="17"/>
        <v>19.05</v>
      </c>
      <c r="W553" t="str">
        <f t="shared" si="18"/>
        <v>0.75" (19.05 mm)</v>
      </c>
    </row>
    <row r="554" spans="18:23">
      <c r="R554">
        <v>576</v>
      </c>
      <c r="S554">
        <v>0.75</v>
      </c>
      <c r="T554">
        <v>0.25</v>
      </c>
      <c r="U554">
        <v>0.375</v>
      </c>
      <c r="V554">
        <f t="shared" si="17"/>
        <v>19.05</v>
      </c>
      <c r="W554" t="str">
        <f t="shared" si="18"/>
        <v>0.75" (19.05 mm)</v>
      </c>
    </row>
    <row r="555" spans="18:23">
      <c r="R555">
        <v>577</v>
      </c>
      <c r="S555">
        <v>0.75</v>
      </c>
      <c r="T555">
        <v>0.25</v>
      </c>
      <c r="U555">
        <v>0.375</v>
      </c>
      <c r="V555">
        <f t="shared" si="17"/>
        <v>19.05</v>
      </c>
      <c r="W555" t="str">
        <f t="shared" si="18"/>
        <v>0.75" (19.05 mm)</v>
      </c>
    </row>
    <row r="556" spans="18:23">
      <c r="R556">
        <v>578</v>
      </c>
      <c r="S556">
        <v>0.75</v>
      </c>
      <c r="T556">
        <v>0.25</v>
      </c>
      <c r="U556">
        <v>0.375</v>
      </c>
      <c r="V556">
        <f t="shared" si="17"/>
        <v>19.05</v>
      </c>
      <c r="W556" t="str">
        <f t="shared" si="18"/>
        <v>0.75" (19.05 mm)</v>
      </c>
    </row>
    <row r="557" spans="18:23">
      <c r="R557">
        <v>579</v>
      </c>
      <c r="S557">
        <v>0.75</v>
      </c>
      <c r="T557">
        <v>0.25</v>
      </c>
      <c r="U557">
        <v>0.375</v>
      </c>
      <c r="V557">
        <f t="shared" si="17"/>
        <v>19.05</v>
      </c>
      <c r="W557" t="str">
        <f t="shared" si="18"/>
        <v>0.75" (19.05 mm)</v>
      </c>
    </row>
    <row r="558" spans="18:23">
      <c r="R558">
        <v>580</v>
      </c>
      <c r="S558">
        <v>0.75</v>
      </c>
      <c r="T558">
        <v>0.25</v>
      </c>
      <c r="U558">
        <v>0.375</v>
      </c>
      <c r="V558">
        <f t="shared" si="17"/>
        <v>19.05</v>
      </c>
      <c r="W558" t="str">
        <f t="shared" si="18"/>
        <v>0.75" (19.05 mm)</v>
      </c>
    </row>
    <row r="559" spans="18:23">
      <c r="R559">
        <v>581</v>
      </c>
      <c r="S559">
        <v>0.75</v>
      </c>
      <c r="T559">
        <v>0.25</v>
      </c>
      <c r="U559">
        <v>0.375</v>
      </c>
      <c r="V559">
        <f t="shared" si="17"/>
        <v>19.05</v>
      </c>
      <c r="W559" t="str">
        <f t="shared" si="18"/>
        <v>0.75" (19.05 mm)</v>
      </c>
    </row>
    <row r="560" spans="18:23">
      <c r="R560">
        <v>582</v>
      </c>
      <c r="S560">
        <v>0.75</v>
      </c>
      <c r="T560">
        <v>0.25</v>
      </c>
      <c r="U560">
        <v>0.375</v>
      </c>
      <c r="V560">
        <f t="shared" si="17"/>
        <v>19.05</v>
      </c>
      <c r="W560" t="str">
        <f t="shared" si="18"/>
        <v>0.75" (19.05 mm)</v>
      </c>
    </row>
    <row r="561" spans="18:23">
      <c r="R561">
        <v>583</v>
      </c>
      <c r="S561">
        <v>0.75</v>
      </c>
      <c r="T561">
        <v>0.25</v>
      </c>
      <c r="U561">
        <v>0.375</v>
      </c>
      <c r="V561">
        <f t="shared" si="17"/>
        <v>19.05</v>
      </c>
      <c r="W561" t="str">
        <f t="shared" si="18"/>
        <v>0.75" (19.05 mm)</v>
      </c>
    </row>
    <row r="562" spans="18:23">
      <c r="R562">
        <v>584</v>
      </c>
      <c r="S562">
        <v>0.75</v>
      </c>
      <c r="T562">
        <v>0.25</v>
      </c>
      <c r="U562">
        <v>0.375</v>
      </c>
      <c r="V562">
        <f t="shared" si="17"/>
        <v>19.05</v>
      </c>
      <c r="W562" t="str">
        <f t="shared" si="18"/>
        <v>0.75" (19.05 mm)</v>
      </c>
    </row>
    <row r="563" spans="18:23">
      <c r="R563">
        <v>585</v>
      </c>
      <c r="S563">
        <v>0.75</v>
      </c>
      <c r="T563">
        <v>0.25</v>
      </c>
      <c r="U563">
        <v>0.375</v>
      </c>
      <c r="V563">
        <f t="shared" si="17"/>
        <v>19.05</v>
      </c>
      <c r="W563" t="str">
        <f t="shared" si="18"/>
        <v>0.75" (19.05 mm)</v>
      </c>
    </row>
    <row r="564" spans="18:23">
      <c r="R564">
        <v>586</v>
      </c>
      <c r="S564">
        <v>0.75</v>
      </c>
      <c r="T564">
        <v>0.25</v>
      </c>
      <c r="U564">
        <v>0.375</v>
      </c>
      <c r="V564">
        <f t="shared" si="17"/>
        <v>19.05</v>
      </c>
      <c r="W564" t="str">
        <f t="shared" si="18"/>
        <v>0.75" (19.05 mm)</v>
      </c>
    </row>
    <row r="565" spans="18:23">
      <c r="R565">
        <v>587</v>
      </c>
      <c r="S565">
        <v>0.75</v>
      </c>
      <c r="T565">
        <v>0.25</v>
      </c>
      <c r="U565">
        <v>0.375</v>
      </c>
      <c r="V565">
        <f t="shared" si="17"/>
        <v>19.05</v>
      </c>
      <c r="W565" t="str">
        <f t="shared" si="18"/>
        <v>0.75" (19.05 mm)</v>
      </c>
    </row>
    <row r="566" spans="18:23">
      <c r="R566">
        <v>588</v>
      </c>
      <c r="S566">
        <v>0.75</v>
      </c>
      <c r="T566">
        <v>0.25</v>
      </c>
      <c r="U566">
        <v>0.375</v>
      </c>
      <c r="V566">
        <f t="shared" si="17"/>
        <v>19.05</v>
      </c>
      <c r="W566" t="str">
        <f t="shared" si="18"/>
        <v>0.75" (19.05 mm)</v>
      </c>
    </row>
    <row r="567" spans="18:23">
      <c r="R567">
        <v>589</v>
      </c>
      <c r="S567">
        <v>0.75</v>
      </c>
      <c r="T567">
        <v>0.25</v>
      </c>
      <c r="U567">
        <v>0.375</v>
      </c>
      <c r="V567">
        <f t="shared" si="17"/>
        <v>19.05</v>
      </c>
      <c r="W567" t="str">
        <f t="shared" si="18"/>
        <v>0.75" (19.05 mm)</v>
      </c>
    </row>
    <row r="568" spans="18:23">
      <c r="R568">
        <v>590</v>
      </c>
      <c r="S568">
        <v>0.75</v>
      </c>
      <c r="T568">
        <v>0.25</v>
      </c>
      <c r="U568">
        <v>0.375</v>
      </c>
      <c r="V568">
        <f t="shared" si="17"/>
        <v>19.05</v>
      </c>
      <c r="W568" t="str">
        <f t="shared" si="18"/>
        <v>0.75" (19.05 mm)</v>
      </c>
    </row>
    <row r="569" spans="18:23">
      <c r="R569">
        <v>591</v>
      </c>
      <c r="S569">
        <v>0.75</v>
      </c>
      <c r="T569">
        <v>0.25</v>
      </c>
      <c r="U569">
        <v>0.375</v>
      </c>
      <c r="V569">
        <f t="shared" si="17"/>
        <v>19.05</v>
      </c>
      <c r="W569" t="str">
        <f t="shared" si="18"/>
        <v>0.75" (19.05 mm)</v>
      </c>
    </row>
    <row r="570" spans="18:23">
      <c r="R570">
        <v>592</v>
      </c>
      <c r="S570">
        <v>0.75</v>
      </c>
      <c r="T570">
        <v>0.25</v>
      </c>
      <c r="U570">
        <v>0.375</v>
      </c>
      <c r="V570">
        <f t="shared" si="17"/>
        <v>19.05</v>
      </c>
      <c r="W570" t="str">
        <f t="shared" si="18"/>
        <v>0.75" (19.05 mm)</v>
      </c>
    </row>
    <row r="571" spans="18:23">
      <c r="R571">
        <v>593</v>
      </c>
      <c r="S571">
        <v>0.75</v>
      </c>
      <c r="T571">
        <v>0.25</v>
      </c>
      <c r="U571">
        <v>0.375</v>
      </c>
      <c r="V571">
        <f t="shared" si="17"/>
        <v>19.05</v>
      </c>
      <c r="W571" t="str">
        <f t="shared" si="18"/>
        <v>0.75" (19.05 mm)</v>
      </c>
    </row>
    <row r="572" spans="18:23">
      <c r="R572">
        <v>594</v>
      </c>
      <c r="S572">
        <v>0.75</v>
      </c>
      <c r="T572">
        <v>0.25</v>
      </c>
      <c r="U572">
        <v>0.375</v>
      </c>
      <c r="V572">
        <f t="shared" si="17"/>
        <v>19.05</v>
      </c>
      <c r="W572" t="str">
        <f t="shared" si="18"/>
        <v>0.75" (19.05 mm)</v>
      </c>
    </row>
    <row r="573" spans="18:23">
      <c r="R573">
        <v>595</v>
      </c>
      <c r="S573">
        <v>0.75</v>
      </c>
      <c r="T573">
        <v>0.25</v>
      </c>
      <c r="U573">
        <v>0.375</v>
      </c>
      <c r="V573">
        <f t="shared" si="17"/>
        <v>19.05</v>
      </c>
      <c r="W573" t="str">
        <f t="shared" si="18"/>
        <v>0.75" (19.05 mm)</v>
      </c>
    </row>
    <row r="574" spans="18:23">
      <c r="R574">
        <v>596</v>
      </c>
      <c r="S574">
        <v>0.75</v>
      </c>
      <c r="T574">
        <v>0.25</v>
      </c>
      <c r="U574">
        <v>0.375</v>
      </c>
      <c r="V574">
        <f t="shared" si="17"/>
        <v>19.05</v>
      </c>
      <c r="W574" t="str">
        <f t="shared" si="18"/>
        <v>0.75" (19.05 mm)</v>
      </c>
    </row>
    <row r="575" spans="18:23">
      <c r="R575">
        <v>597</v>
      </c>
      <c r="S575">
        <v>0.75</v>
      </c>
      <c r="T575">
        <v>0.25</v>
      </c>
      <c r="U575">
        <v>0.375</v>
      </c>
      <c r="V575">
        <f t="shared" si="17"/>
        <v>19.05</v>
      </c>
      <c r="W575" t="str">
        <f t="shared" si="18"/>
        <v>0.75" (19.05 mm)</v>
      </c>
    </row>
    <row r="576" spans="18:23">
      <c r="R576">
        <v>598</v>
      </c>
      <c r="S576">
        <v>0.75</v>
      </c>
      <c r="T576">
        <v>0.25</v>
      </c>
      <c r="U576">
        <v>0.375</v>
      </c>
      <c r="V576">
        <f t="shared" si="17"/>
        <v>19.05</v>
      </c>
      <c r="W576" t="str">
        <f t="shared" si="18"/>
        <v>0.75" (19.05 mm)</v>
      </c>
    </row>
    <row r="577" spans="18:23">
      <c r="R577">
        <v>599</v>
      </c>
      <c r="S577">
        <v>0.75</v>
      </c>
      <c r="T577">
        <v>0.25</v>
      </c>
      <c r="U577">
        <v>0.375</v>
      </c>
      <c r="V577">
        <f t="shared" si="17"/>
        <v>19.05</v>
      </c>
      <c r="W577" t="str">
        <f t="shared" si="18"/>
        <v>0.75" (19.05 mm)</v>
      </c>
    </row>
    <row r="578" spans="18:23">
      <c r="R578">
        <v>600</v>
      </c>
      <c r="S578">
        <v>0.75</v>
      </c>
      <c r="T578">
        <v>0.25</v>
      </c>
      <c r="U578">
        <v>0.375</v>
      </c>
      <c r="V578">
        <f t="shared" ref="V578:V641" si="19">ROUND(S578*mm, 5)</f>
        <v>19.05</v>
      </c>
      <c r="W578" t="str">
        <f t="shared" si="18"/>
        <v>0.75" (19.05 mm)</v>
      </c>
    </row>
    <row r="579" spans="18:23">
      <c r="R579">
        <v>601</v>
      </c>
      <c r="S579">
        <v>0.75</v>
      </c>
      <c r="T579">
        <v>0.25</v>
      </c>
      <c r="U579">
        <v>0.375</v>
      </c>
      <c r="V579">
        <f t="shared" si="19"/>
        <v>19.05</v>
      </c>
      <c r="W579" t="str">
        <f t="shared" ref="W579:W642" si="20">S579&amp;""""&amp;" ("&amp;V579&amp;" mm)"</f>
        <v>0.75" (19.05 mm)</v>
      </c>
    </row>
    <row r="580" spans="18:23">
      <c r="R580">
        <v>602</v>
      </c>
      <c r="S580">
        <v>0.75</v>
      </c>
      <c r="T580">
        <v>0.25</v>
      </c>
      <c r="U580">
        <v>0.375</v>
      </c>
      <c r="V580">
        <f t="shared" si="19"/>
        <v>19.05</v>
      </c>
      <c r="W580" t="str">
        <f t="shared" si="20"/>
        <v>0.75" (19.05 mm)</v>
      </c>
    </row>
    <row r="581" spans="18:23">
      <c r="R581">
        <v>603</v>
      </c>
      <c r="S581">
        <v>0.75</v>
      </c>
      <c r="T581">
        <v>0.25</v>
      </c>
      <c r="U581">
        <v>0.375</v>
      </c>
      <c r="V581">
        <f t="shared" si="19"/>
        <v>19.05</v>
      </c>
      <c r="W581" t="str">
        <f t="shared" si="20"/>
        <v>0.75" (19.05 mm)</v>
      </c>
    </row>
    <row r="582" spans="18:23">
      <c r="R582">
        <v>604</v>
      </c>
      <c r="S582">
        <v>0.75</v>
      </c>
      <c r="T582">
        <v>0.25</v>
      </c>
      <c r="U582">
        <v>0.375</v>
      </c>
      <c r="V582">
        <f t="shared" si="19"/>
        <v>19.05</v>
      </c>
      <c r="W582" t="str">
        <f t="shared" si="20"/>
        <v>0.75" (19.05 mm)</v>
      </c>
    </row>
    <row r="583" spans="18:23">
      <c r="R583">
        <v>605</v>
      </c>
      <c r="S583">
        <v>0.75</v>
      </c>
      <c r="T583">
        <v>0.25</v>
      </c>
      <c r="U583">
        <v>0.375</v>
      </c>
      <c r="V583">
        <f t="shared" si="19"/>
        <v>19.05</v>
      </c>
      <c r="W583" t="str">
        <f t="shared" si="20"/>
        <v>0.75" (19.05 mm)</v>
      </c>
    </row>
    <row r="584" spans="18:23">
      <c r="R584">
        <v>606</v>
      </c>
      <c r="S584">
        <v>0.75</v>
      </c>
      <c r="T584">
        <v>0.25</v>
      </c>
      <c r="U584">
        <v>0.375</v>
      </c>
      <c r="V584">
        <f t="shared" si="19"/>
        <v>19.05</v>
      </c>
      <c r="W584" t="str">
        <f t="shared" si="20"/>
        <v>0.75" (19.05 mm)</v>
      </c>
    </row>
    <row r="585" spans="18:23">
      <c r="R585">
        <v>607</v>
      </c>
      <c r="S585">
        <v>0.75</v>
      </c>
      <c r="T585">
        <v>0.25</v>
      </c>
      <c r="U585">
        <v>0.375</v>
      </c>
      <c r="V585">
        <f t="shared" si="19"/>
        <v>19.05</v>
      </c>
      <c r="W585" t="str">
        <f t="shared" si="20"/>
        <v>0.75" (19.05 mm)</v>
      </c>
    </row>
    <row r="586" spans="18:23">
      <c r="R586">
        <v>608</v>
      </c>
      <c r="S586">
        <v>0.75</v>
      </c>
      <c r="T586">
        <v>0.25</v>
      </c>
      <c r="U586">
        <v>0.375</v>
      </c>
      <c r="V586">
        <f t="shared" si="19"/>
        <v>19.05</v>
      </c>
      <c r="W586" t="str">
        <f t="shared" si="20"/>
        <v>0.75" (19.05 mm)</v>
      </c>
    </row>
    <row r="587" spans="18:23">
      <c r="R587">
        <v>609</v>
      </c>
      <c r="S587">
        <v>0.75</v>
      </c>
      <c r="T587">
        <v>0.25</v>
      </c>
      <c r="U587">
        <v>0.375</v>
      </c>
      <c r="V587">
        <f t="shared" si="19"/>
        <v>19.05</v>
      </c>
      <c r="W587" t="str">
        <f t="shared" si="20"/>
        <v>0.75" (19.05 mm)</v>
      </c>
    </row>
    <row r="588" spans="18:23">
      <c r="R588">
        <v>610</v>
      </c>
      <c r="S588">
        <v>0.75</v>
      </c>
      <c r="T588">
        <v>0.25</v>
      </c>
      <c r="U588">
        <v>0.375</v>
      </c>
      <c r="V588">
        <f t="shared" si="19"/>
        <v>19.05</v>
      </c>
      <c r="W588" t="str">
        <f t="shared" si="20"/>
        <v>0.75" (19.05 mm)</v>
      </c>
    </row>
    <row r="589" spans="18:23">
      <c r="R589">
        <v>611</v>
      </c>
      <c r="S589">
        <v>0.75</v>
      </c>
      <c r="T589">
        <v>0.25</v>
      </c>
      <c r="U589">
        <v>0.375</v>
      </c>
      <c r="V589">
        <f t="shared" si="19"/>
        <v>19.05</v>
      </c>
      <c r="W589" t="str">
        <f t="shared" si="20"/>
        <v>0.75" (19.05 mm)</v>
      </c>
    </row>
    <row r="590" spans="18:23">
      <c r="R590">
        <v>612</v>
      </c>
      <c r="S590">
        <v>0.75</v>
      </c>
      <c r="T590">
        <v>0.25</v>
      </c>
      <c r="U590">
        <v>0.375</v>
      </c>
      <c r="V590">
        <f t="shared" si="19"/>
        <v>19.05</v>
      </c>
      <c r="W590" t="str">
        <f t="shared" si="20"/>
        <v>0.75" (19.05 mm)</v>
      </c>
    </row>
    <row r="591" spans="18:23">
      <c r="R591">
        <v>613</v>
      </c>
      <c r="S591">
        <v>0.75</v>
      </c>
      <c r="T591">
        <v>0.25</v>
      </c>
      <c r="U591">
        <v>0.375</v>
      </c>
      <c r="V591">
        <f t="shared" si="19"/>
        <v>19.05</v>
      </c>
      <c r="W591" t="str">
        <f t="shared" si="20"/>
        <v>0.75" (19.05 mm)</v>
      </c>
    </row>
    <row r="592" spans="18:23">
      <c r="R592">
        <v>614</v>
      </c>
      <c r="S592">
        <v>0.75</v>
      </c>
      <c r="T592">
        <v>0.25</v>
      </c>
      <c r="U592">
        <v>0.375</v>
      </c>
      <c r="V592">
        <f t="shared" si="19"/>
        <v>19.05</v>
      </c>
      <c r="W592" t="str">
        <f t="shared" si="20"/>
        <v>0.75" (19.05 mm)</v>
      </c>
    </row>
    <row r="593" spans="18:23">
      <c r="R593">
        <v>615</v>
      </c>
      <c r="S593">
        <v>0.75</v>
      </c>
      <c r="T593">
        <v>0.25</v>
      </c>
      <c r="U593">
        <v>0.375</v>
      </c>
      <c r="V593">
        <f t="shared" si="19"/>
        <v>19.05</v>
      </c>
      <c r="W593" t="str">
        <f t="shared" si="20"/>
        <v>0.75" (19.05 mm)</v>
      </c>
    </row>
    <row r="594" spans="18:23">
      <c r="R594">
        <v>616</v>
      </c>
      <c r="S594">
        <v>0.75</v>
      </c>
      <c r="T594">
        <v>0.25</v>
      </c>
      <c r="U594">
        <v>0.375</v>
      </c>
      <c r="V594">
        <f t="shared" si="19"/>
        <v>19.05</v>
      </c>
      <c r="W594" t="str">
        <f t="shared" si="20"/>
        <v>0.75" (19.05 mm)</v>
      </c>
    </row>
    <row r="595" spans="18:23">
      <c r="R595">
        <v>617</v>
      </c>
      <c r="S595">
        <v>0.75</v>
      </c>
      <c r="T595">
        <v>0.25</v>
      </c>
      <c r="U595">
        <v>0.375</v>
      </c>
      <c r="V595">
        <f t="shared" si="19"/>
        <v>19.05</v>
      </c>
      <c r="W595" t="str">
        <f t="shared" si="20"/>
        <v>0.75" (19.05 mm)</v>
      </c>
    </row>
    <row r="596" spans="18:23">
      <c r="R596">
        <v>618</v>
      </c>
      <c r="S596">
        <v>0.75</v>
      </c>
      <c r="T596">
        <v>0.25</v>
      </c>
      <c r="U596">
        <v>0.375</v>
      </c>
      <c r="V596">
        <f t="shared" si="19"/>
        <v>19.05</v>
      </c>
      <c r="W596" t="str">
        <f t="shared" si="20"/>
        <v>0.75" (19.05 mm)</v>
      </c>
    </row>
    <row r="597" spans="18:23">
      <c r="R597">
        <v>619</v>
      </c>
      <c r="S597">
        <v>0.75</v>
      </c>
      <c r="T597">
        <v>0.25</v>
      </c>
      <c r="U597">
        <v>0.375</v>
      </c>
      <c r="V597">
        <f t="shared" si="19"/>
        <v>19.05</v>
      </c>
      <c r="W597" t="str">
        <f t="shared" si="20"/>
        <v>0.75" (19.05 mm)</v>
      </c>
    </row>
    <row r="598" spans="18:23">
      <c r="R598">
        <v>620</v>
      </c>
      <c r="S598">
        <v>0.75</v>
      </c>
      <c r="T598">
        <v>0.25</v>
      </c>
      <c r="U598">
        <v>0.375</v>
      </c>
      <c r="V598">
        <f t="shared" si="19"/>
        <v>19.05</v>
      </c>
      <c r="W598" t="str">
        <f t="shared" si="20"/>
        <v>0.75" (19.05 mm)</v>
      </c>
    </row>
    <row r="599" spans="18:23">
      <c r="R599">
        <v>621</v>
      </c>
      <c r="S599">
        <v>0.75</v>
      </c>
      <c r="T599">
        <v>0.25</v>
      </c>
      <c r="U599">
        <v>0.375</v>
      </c>
      <c r="V599">
        <f t="shared" si="19"/>
        <v>19.05</v>
      </c>
      <c r="W599" t="str">
        <f t="shared" si="20"/>
        <v>0.75" (19.05 mm)</v>
      </c>
    </row>
    <row r="600" spans="18:23">
      <c r="R600">
        <v>622</v>
      </c>
      <c r="S600">
        <v>0.75</v>
      </c>
      <c r="T600">
        <v>0.25</v>
      </c>
      <c r="U600">
        <v>0.375</v>
      </c>
      <c r="V600">
        <f t="shared" si="19"/>
        <v>19.05</v>
      </c>
      <c r="W600" t="str">
        <f t="shared" si="20"/>
        <v>0.75" (19.05 mm)</v>
      </c>
    </row>
    <row r="601" spans="18:23">
      <c r="R601">
        <v>623</v>
      </c>
      <c r="S601">
        <v>0.75</v>
      </c>
      <c r="T601">
        <v>0.25</v>
      </c>
      <c r="U601">
        <v>0.375</v>
      </c>
      <c r="V601">
        <f t="shared" si="19"/>
        <v>19.05</v>
      </c>
      <c r="W601" t="str">
        <f t="shared" si="20"/>
        <v>0.75" (19.05 mm)</v>
      </c>
    </row>
    <row r="602" spans="18:23">
      <c r="R602">
        <v>624</v>
      </c>
      <c r="S602">
        <v>0.75</v>
      </c>
      <c r="T602">
        <v>0.25</v>
      </c>
      <c r="U602">
        <v>0.375</v>
      </c>
      <c r="V602">
        <f t="shared" si="19"/>
        <v>19.05</v>
      </c>
      <c r="W602" t="str">
        <f t="shared" si="20"/>
        <v>0.75" (19.05 mm)</v>
      </c>
    </row>
    <row r="603" spans="18:23">
      <c r="R603">
        <v>625</v>
      </c>
      <c r="S603">
        <v>0.75</v>
      </c>
      <c r="T603">
        <v>0.25</v>
      </c>
      <c r="U603">
        <v>0.375</v>
      </c>
      <c r="V603">
        <f t="shared" si="19"/>
        <v>19.05</v>
      </c>
      <c r="W603" t="str">
        <f t="shared" si="20"/>
        <v>0.75" (19.05 mm)</v>
      </c>
    </row>
    <row r="604" spans="18:23">
      <c r="R604">
        <v>626</v>
      </c>
      <c r="S604">
        <v>0.75</v>
      </c>
      <c r="T604">
        <v>0.25</v>
      </c>
      <c r="U604">
        <v>0.375</v>
      </c>
      <c r="V604">
        <f t="shared" si="19"/>
        <v>19.05</v>
      </c>
      <c r="W604" t="str">
        <f t="shared" si="20"/>
        <v>0.75" (19.05 mm)</v>
      </c>
    </row>
    <row r="605" spans="18:23">
      <c r="R605">
        <v>627</v>
      </c>
      <c r="S605">
        <v>0.75</v>
      </c>
      <c r="T605">
        <v>0.25</v>
      </c>
      <c r="U605">
        <v>0.375</v>
      </c>
      <c r="V605">
        <f t="shared" si="19"/>
        <v>19.05</v>
      </c>
      <c r="W605" t="str">
        <f t="shared" si="20"/>
        <v>0.75" (19.05 mm)</v>
      </c>
    </row>
    <row r="606" spans="18:23">
      <c r="R606">
        <v>628</v>
      </c>
      <c r="S606">
        <v>0.75</v>
      </c>
      <c r="T606">
        <v>0.25</v>
      </c>
      <c r="U606">
        <v>0.375</v>
      </c>
      <c r="V606">
        <f t="shared" si="19"/>
        <v>19.05</v>
      </c>
      <c r="W606" t="str">
        <f t="shared" si="20"/>
        <v>0.75" (19.05 mm)</v>
      </c>
    </row>
    <row r="607" spans="18:23">
      <c r="R607">
        <v>629</v>
      </c>
      <c r="S607">
        <v>0.75</v>
      </c>
      <c r="T607">
        <v>0.25</v>
      </c>
      <c r="U607">
        <v>0.375</v>
      </c>
      <c r="V607">
        <f t="shared" si="19"/>
        <v>19.05</v>
      </c>
      <c r="W607" t="str">
        <f t="shared" si="20"/>
        <v>0.75" (19.05 mm)</v>
      </c>
    </row>
    <row r="608" spans="18:23">
      <c r="R608">
        <v>630</v>
      </c>
      <c r="S608">
        <v>0.75</v>
      </c>
      <c r="T608">
        <v>0.25</v>
      </c>
      <c r="U608">
        <v>0.375</v>
      </c>
      <c r="V608">
        <f t="shared" si="19"/>
        <v>19.05</v>
      </c>
      <c r="W608" t="str">
        <f t="shared" si="20"/>
        <v>0.75" (19.05 mm)</v>
      </c>
    </row>
    <row r="609" spans="18:23">
      <c r="R609">
        <v>631</v>
      </c>
      <c r="S609">
        <v>0.75</v>
      </c>
      <c r="T609">
        <v>0.25</v>
      </c>
      <c r="U609">
        <v>0.375</v>
      </c>
      <c r="V609">
        <f t="shared" si="19"/>
        <v>19.05</v>
      </c>
      <c r="W609" t="str">
        <f t="shared" si="20"/>
        <v>0.75" (19.05 mm)</v>
      </c>
    </row>
    <row r="610" spans="18:23">
      <c r="R610">
        <v>632</v>
      </c>
      <c r="S610">
        <v>0.75</v>
      </c>
      <c r="T610">
        <v>0.25</v>
      </c>
      <c r="U610">
        <v>0.375</v>
      </c>
      <c r="V610">
        <f t="shared" si="19"/>
        <v>19.05</v>
      </c>
      <c r="W610" t="str">
        <f t="shared" si="20"/>
        <v>0.75" (19.05 mm)</v>
      </c>
    </row>
    <row r="611" spans="18:23">
      <c r="R611">
        <v>633</v>
      </c>
      <c r="S611">
        <v>0.75</v>
      </c>
      <c r="T611">
        <v>0.25</v>
      </c>
      <c r="U611">
        <v>0.375</v>
      </c>
      <c r="V611">
        <f t="shared" si="19"/>
        <v>19.05</v>
      </c>
      <c r="W611" t="str">
        <f t="shared" si="20"/>
        <v>0.75" (19.05 mm)</v>
      </c>
    </row>
    <row r="612" spans="18:23">
      <c r="R612">
        <v>634</v>
      </c>
      <c r="S612">
        <v>0.75</v>
      </c>
      <c r="T612">
        <v>0.25</v>
      </c>
      <c r="U612">
        <v>0.375</v>
      </c>
      <c r="V612">
        <f t="shared" si="19"/>
        <v>19.05</v>
      </c>
      <c r="W612" t="str">
        <f t="shared" si="20"/>
        <v>0.75" (19.05 mm)</v>
      </c>
    </row>
    <row r="613" spans="18:23">
      <c r="R613">
        <v>635</v>
      </c>
      <c r="S613">
        <v>0.75</v>
      </c>
      <c r="T613">
        <v>0.25</v>
      </c>
      <c r="U613">
        <v>0.375</v>
      </c>
      <c r="V613">
        <f t="shared" si="19"/>
        <v>19.05</v>
      </c>
      <c r="W613" t="str">
        <f t="shared" si="20"/>
        <v>0.75" (19.05 mm)</v>
      </c>
    </row>
    <row r="614" spans="18:23">
      <c r="R614">
        <v>636</v>
      </c>
      <c r="S614">
        <v>0.75</v>
      </c>
      <c r="T614">
        <v>0.25</v>
      </c>
      <c r="U614">
        <v>0.375</v>
      </c>
      <c r="V614">
        <f t="shared" si="19"/>
        <v>19.05</v>
      </c>
      <c r="W614" t="str">
        <f t="shared" si="20"/>
        <v>0.75" (19.05 mm)</v>
      </c>
    </row>
    <row r="615" spans="18:23">
      <c r="R615">
        <v>637</v>
      </c>
      <c r="S615">
        <v>0.75</v>
      </c>
      <c r="T615">
        <v>0.25</v>
      </c>
      <c r="U615">
        <v>0.375</v>
      </c>
      <c r="V615">
        <f t="shared" si="19"/>
        <v>19.05</v>
      </c>
      <c r="W615" t="str">
        <f t="shared" si="20"/>
        <v>0.75" (19.05 mm)</v>
      </c>
    </row>
    <row r="616" spans="18:23">
      <c r="R616">
        <v>638</v>
      </c>
      <c r="S616">
        <v>0.75</v>
      </c>
      <c r="T616">
        <v>0.25</v>
      </c>
      <c r="U616">
        <v>0.375</v>
      </c>
      <c r="V616">
        <f t="shared" si="19"/>
        <v>19.05</v>
      </c>
      <c r="W616" t="str">
        <f t="shared" si="20"/>
        <v>0.75" (19.05 mm)</v>
      </c>
    </row>
    <row r="617" spans="18:23">
      <c r="R617">
        <v>639</v>
      </c>
      <c r="S617">
        <v>0.75</v>
      </c>
      <c r="T617">
        <v>0.25</v>
      </c>
      <c r="U617">
        <v>0.375</v>
      </c>
      <c r="V617">
        <f t="shared" si="19"/>
        <v>19.05</v>
      </c>
      <c r="W617" t="str">
        <f t="shared" si="20"/>
        <v>0.75" (19.05 mm)</v>
      </c>
    </row>
    <row r="618" spans="18:23">
      <c r="R618">
        <v>640</v>
      </c>
      <c r="S618">
        <v>0.75</v>
      </c>
      <c r="T618">
        <v>0.25</v>
      </c>
      <c r="U618">
        <v>0.375</v>
      </c>
      <c r="V618">
        <f t="shared" si="19"/>
        <v>19.05</v>
      </c>
      <c r="W618" t="str">
        <f t="shared" si="20"/>
        <v>0.75" (19.05 mm)</v>
      </c>
    </row>
    <row r="619" spans="18:23">
      <c r="R619">
        <v>641</v>
      </c>
      <c r="S619">
        <v>0.75</v>
      </c>
      <c r="T619">
        <v>0.25</v>
      </c>
      <c r="U619">
        <v>0.375</v>
      </c>
      <c r="V619">
        <f t="shared" si="19"/>
        <v>19.05</v>
      </c>
      <c r="W619" t="str">
        <f t="shared" si="20"/>
        <v>0.75" (19.05 mm)</v>
      </c>
    </row>
    <row r="620" spans="18:23">
      <c r="R620">
        <v>642</v>
      </c>
      <c r="S620">
        <v>0.75</v>
      </c>
      <c r="T620">
        <v>0.25</v>
      </c>
      <c r="U620">
        <v>0.375</v>
      </c>
      <c r="V620">
        <f t="shared" si="19"/>
        <v>19.05</v>
      </c>
      <c r="W620" t="str">
        <f t="shared" si="20"/>
        <v>0.75" (19.05 mm)</v>
      </c>
    </row>
    <row r="621" spans="18:23">
      <c r="R621">
        <v>643</v>
      </c>
      <c r="S621">
        <v>0.75</v>
      </c>
      <c r="T621">
        <v>0.25</v>
      </c>
      <c r="U621">
        <v>0.375</v>
      </c>
      <c r="V621">
        <f t="shared" si="19"/>
        <v>19.05</v>
      </c>
      <c r="W621" t="str">
        <f t="shared" si="20"/>
        <v>0.75" (19.05 mm)</v>
      </c>
    </row>
    <row r="622" spans="18:23">
      <c r="R622">
        <v>644</v>
      </c>
      <c r="S622">
        <v>0.75</v>
      </c>
      <c r="T622">
        <v>0.25</v>
      </c>
      <c r="U622">
        <v>0.375</v>
      </c>
      <c r="V622">
        <f t="shared" si="19"/>
        <v>19.05</v>
      </c>
      <c r="W622" t="str">
        <f t="shared" si="20"/>
        <v>0.75" (19.05 mm)</v>
      </c>
    </row>
    <row r="623" spans="18:23">
      <c r="R623">
        <v>645</v>
      </c>
      <c r="S623">
        <v>0.75</v>
      </c>
      <c r="T623">
        <v>0.25</v>
      </c>
      <c r="U623">
        <v>0.375</v>
      </c>
      <c r="V623">
        <f t="shared" si="19"/>
        <v>19.05</v>
      </c>
      <c r="W623" t="str">
        <f t="shared" si="20"/>
        <v>0.75" (19.05 mm)</v>
      </c>
    </row>
    <row r="624" spans="18:23">
      <c r="R624">
        <v>646</v>
      </c>
      <c r="S624">
        <v>0.75</v>
      </c>
      <c r="T624">
        <v>0.25</v>
      </c>
      <c r="U624">
        <v>0.375</v>
      </c>
      <c r="V624">
        <f t="shared" si="19"/>
        <v>19.05</v>
      </c>
      <c r="W624" t="str">
        <f t="shared" si="20"/>
        <v>0.75" (19.05 mm)</v>
      </c>
    </row>
    <row r="625" spans="18:23">
      <c r="R625">
        <v>647</v>
      </c>
      <c r="S625">
        <v>0.75</v>
      </c>
      <c r="T625">
        <v>0.25</v>
      </c>
      <c r="U625">
        <v>0.375</v>
      </c>
      <c r="V625">
        <f t="shared" si="19"/>
        <v>19.05</v>
      </c>
      <c r="W625" t="str">
        <f t="shared" si="20"/>
        <v>0.75" (19.05 mm)</v>
      </c>
    </row>
    <row r="626" spans="18:23">
      <c r="R626">
        <v>648</v>
      </c>
      <c r="S626">
        <v>0.75</v>
      </c>
      <c r="T626">
        <v>0.25</v>
      </c>
      <c r="U626">
        <v>0.375</v>
      </c>
      <c r="V626">
        <f t="shared" si="19"/>
        <v>19.05</v>
      </c>
      <c r="W626" t="str">
        <f t="shared" si="20"/>
        <v>0.75" (19.05 mm)</v>
      </c>
    </row>
    <row r="627" spans="18:23">
      <c r="R627">
        <v>649</v>
      </c>
      <c r="S627">
        <v>0.75</v>
      </c>
      <c r="T627">
        <v>0.25</v>
      </c>
      <c r="U627">
        <v>0.375</v>
      </c>
      <c r="V627">
        <f t="shared" si="19"/>
        <v>19.05</v>
      </c>
      <c r="W627" t="str">
        <f t="shared" si="20"/>
        <v>0.75" (19.05 mm)</v>
      </c>
    </row>
    <row r="628" spans="18:23">
      <c r="R628">
        <v>650</v>
      </c>
      <c r="S628">
        <v>0.75</v>
      </c>
      <c r="T628">
        <v>0.25</v>
      </c>
      <c r="U628">
        <v>0.375</v>
      </c>
      <c r="V628">
        <f t="shared" si="19"/>
        <v>19.05</v>
      </c>
      <c r="W628" t="str">
        <f t="shared" si="20"/>
        <v>0.75" (19.05 mm)</v>
      </c>
    </row>
    <row r="629" spans="18:23">
      <c r="R629">
        <v>651</v>
      </c>
      <c r="S629">
        <v>0.75</v>
      </c>
      <c r="T629">
        <v>0.25</v>
      </c>
      <c r="U629">
        <v>0.375</v>
      </c>
      <c r="V629">
        <f t="shared" si="19"/>
        <v>19.05</v>
      </c>
      <c r="W629" t="str">
        <f t="shared" si="20"/>
        <v>0.75" (19.05 mm)</v>
      </c>
    </row>
    <row r="630" spans="18:23">
      <c r="R630">
        <v>652</v>
      </c>
      <c r="S630">
        <v>0.75</v>
      </c>
      <c r="T630">
        <v>0.25</v>
      </c>
      <c r="U630">
        <v>0.375</v>
      </c>
      <c r="V630">
        <f t="shared" si="19"/>
        <v>19.05</v>
      </c>
      <c r="W630" t="str">
        <f t="shared" si="20"/>
        <v>0.75" (19.05 mm)</v>
      </c>
    </row>
    <row r="631" spans="18:23">
      <c r="R631">
        <v>653</v>
      </c>
      <c r="S631">
        <v>0.75</v>
      </c>
      <c r="T631">
        <v>0.25</v>
      </c>
      <c r="U631">
        <v>0.375</v>
      </c>
      <c r="V631">
        <f t="shared" si="19"/>
        <v>19.05</v>
      </c>
      <c r="W631" t="str">
        <f t="shared" si="20"/>
        <v>0.75" (19.05 mm)</v>
      </c>
    </row>
    <row r="632" spans="18:23">
      <c r="R632">
        <v>654</v>
      </c>
      <c r="S632">
        <v>0.75</v>
      </c>
      <c r="T632">
        <v>0.25</v>
      </c>
      <c r="U632">
        <v>0.375</v>
      </c>
      <c r="V632">
        <f t="shared" si="19"/>
        <v>19.05</v>
      </c>
      <c r="W632" t="str">
        <f t="shared" si="20"/>
        <v>0.75" (19.05 mm)</v>
      </c>
    </row>
    <row r="633" spans="18:23">
      <c r="R633">
        <v>655</v>
      </c>
      <c r="S633">
        <v>0.75</v>
      </c>
      <c r="T633">
        <v>0.25</v>
      </c>
      <c r="U633">
        <v>0.375</v>
      </c>
      <c r="V633">
        <f t="shared" si="19"/>
        <v>19.05</v>
      </c>
      <c r="W633" t="str">
        <f t="shared" si="20"/>
        <v>0.75" (19.05 mm)</v>
      </c>
    </row>
    <row r="634" spans="18:23">
      <c r="R634">
        <v>656</v>
      </c>
      <c r="S634">
        <v>0.75</v>
      </c>
      <c r="T634">
        <v>0.25</v>
      </c>
      <c r="U634">
        <v>0.375</v>
      </c>
      <c r="V634">
        <f t="shared" si="19"/>
        <v>19.05</v>
      </c>
      <c r="W634" t="str">
        <f t="shared" si="20"/>
        <v>0.75" (19.05 mm)</v>
      </c>
    </row>
    <row r="635" spans="18:23">
      <c r="R635">
        <v>657</v>
      </c>
      <c r="S635">
        <v>0.75</v>
      </c>
      <c r="T635">
        <v>0.25</v>
      </c>
      <c r="U635">
        <v>0.375</v>
      </c>
      <c r="V635">
        <f t="shared" si="19"/>
        <v>19.05</v>
      </c>
      <c r="W635" t="str">
        <f t="shared" si="20"/>
        <v>0.75" (19.05 mm)</v>
      </c>
    </row>
    <row r="636" spans="18:23">
      <c r="R636">
        <v>658</v>
      </c>
      <c r="S636">
        <v>0.75</v>
      </c>
      <c r="T636">
        <v>0.25</v>
      </c>
      <c r="U636">
        <v>0.375</v>
      </c>
      <c r="V636">
        <f t="shared" si="19"/>
        <v>19.05</v>
      </c>
      <c r="W636" t="str">
        <f t="shared" si="20"/>
        <v>0.75" (19.05 mm)</v>
      </c>
    </row>
    <row r="637" spans="18:23">
      <c r="R637">
        <v>659</v>
      </c>
      <c r="S637">
        <v>0.75</v>
      </c>
      <c r="T637">
        <v>0.25</v>
      </c>
      <c r="U637">
        <v>0.375</v>
      </c>
      <c r="V637">
        <f t="shared" si="19"/>
        <v>19.05</v>
      </c>
      <c r="W637" t="str">
        <f t="shared" si="20"/>
        <v>0.75" (19.05 mm)</v>
      </c>
    </row>
    <row r="638" spans="18:23">
      <c r="R638">
        <v>660</v>
      </c>
      <c r="S638">
        <v>0.75</v>
      </c>
      <c r="T638">
        <v>0.25</v>
      </c>
      <c r="U638">
        <v>0.375</v>
      </c>
      <c r="V638">
        <f t="shared" si="19"/>
        <v>19.05</v>
      </c>
      <c r="W638" t="str">
        <f t="shared" si="20"/>
        <v>0.75" (19.05 mm)</v>
      </c>
    </row>
    <row r="639" spans="18:23">
      <c r="R639">
        <v>661</v>
      </c>
      <c r="S639">
        <v>0.75</v>
      </c>
      <c r="T639">
        <v>0.25</v>
      </c>
      <c r="U639">
        <v>0.375</v>
      </c>
      <c r="V639">
        <f t="shared" si="19"/>
        <v>19.05</v>
      </c>
      <c r="W639" t="str">
        <f t="shared" si="20"/>
        <v>0.75" (19.05 mm)</v>
      </c>
    </row>
    <row r="640" spans="18:23">
      <c r="R640">
        <v>662</v>
      </c>
      <c r="S640">
        <v>0.75</v>
      </c>
      <c r="T640">
        <v>0.25</v>
      </c>
      <c r="U640">
        <v>0.375</v>
      </c>
      <c r="V640">
        <f t="shared" si="19"/>
        <v>19.05</v>
      </c>
      <c r="W640" t="str">
        <f t="shared" si="20"/>
        <v>0.75" (19.05 mm)</v>
      </c>
    </row>
    <row r="641" spans="18:23">
      <c r="R641">
        <v>663</v>
      </c>
      <c r="S641">
        <v>0.75</v>
      </c>
      <c r="T641">
        <v>0.25</v>
      </c>
      <c r="U641">
        <v>0.375</v>
      </c>
      <c r="V641">
        <f t="shared" si="19"/>
        <v>19.05</v>
      </c>
      <c r="W641" t="str">
        <f t="shared" si="20"/>
        <v>0.75" (19.05 mm)</v>
      </c>
    </row>
    <row r="642" spans="18:23">
      <c r="R642">
        <v>664</v>
      </c>
      <c r="S642">
        <v>0.75</v>
      </c>
      <c r="T642">
        <v>0.25</v>
      </c>
      <c r="U642">
        <v>0.375</v>
      </c>
      <c r="V642">
        <f t="shared" ref="V642:V705" si="21">ROUND(S642*mm, 5)</f>
        <v>19.05</v>
      </c>
      <c r="W642" t="str">
        <f t="shared" si="20"/>
        <v>0.75" (19.05 mm)</v>
      </c>
    </row>
    <row r="643" spans="18:23">
      <c r="R643">
        <v>665</v>
      </c>
      <c r="S643">
        <v>0.75</v>
      </c>
      <c r="T643">
        <v>0.25</v>
      </c>
      <c r="U643">
        <v>0.375</v>
      </c>
      <c r="V643">
        <f t="shared" si="21"/>
        <v>19.05</v>
      </c>
      <c r="W643" t="str">
        <f t="shared" ref="W643:W706" si="22">S643&amp;""""&amp;" ("&amp;V643&amp;" mm)"</f>
        <v>0.75" (19.05 mm)</v>
      </c>
    </row>
    <row r="644" spans="18:23">
      <c r="R644">
        <v>666</v>
      </c>
      <c r="S644">
        <v>0.75</v>
      </c>
      <c r="T644">
        <v>0.25</v>
      </c>
      <c r="U644">
        <v>0.375</v>
      </c>
      <c r="V644">
        <f t="shared" si="21"/>
        <v>19.05</v>
      </c>
      <c r="W644" t="str">
        <f t="shared" si="22"/>
        <v>0.75" (19.05 mm)</v>
      </c>
    </row>
    <row r="645" spans="18:23">
      <c r="R645">
        <v>667</v>
      </c>
      <c r="S645">
        <v>0.75</v>
      </c>
      <c r="T645">
        <v>0.25</v>
      </c>
      <c r="U645">
        <v>0.375</v>
      </c>
      <c r="V645">
        <f t="shared" si="21"/>
        <v>19.05</v>
      </c>
      <c r="W645" t="str">
        <f t="shared" si="22"/>
        <v>0.75" (19.05 mm)</v>
      </c>
    </row>
    <row r="646" spans="18:23">
      <c r="R646">
        <v>668</v>
      </c>
      <c r="S646">
        <v>0.75</v>
      </c>
      <c r="T646">
        <v>0.25</v>
      </c>
      <c r="U646">
        <v>0.375</v>
      </c>
      <c r="V646">
        <f t="shared" si="21"/>
        <v>19.05</v>
      </c>
      <c r="W646" t="str">
        <f t="shared" si="22"/>
        <v>0.75" (19.05 mm)</v>
      </c>
    </row>
    <row r="647" spans="18:23">
      <c r="R647">
        <v>669</v>
      </c>
      <c r="S647">
        <v>0.75</v>
      </c>
      <c r="T647">
        <v>0.25</v>
      </c>
      <c r="U647">
        <v>0.375</v>
      </c>
      <c r="V647">
        <f t="shared" si="21"/>
        <v>19.05</v>
      </c>
      <c r="W647" t="str">
        <f t="shared" si="22"/>
        <v>0.75" (19.05 mm)</v>
      </c>
    </row>
    <row r="648" spans="18:23">
      <c r="R648">
        <v>670</v>
      </c>
      <c r="S648">
        <v>0.75</v>
      </c>
      <c r="T648">
        <v>0.25</v>
      </c>
      <c r="U648">
        <v>0.375</v>
      </c>
      <c r="V648">
        <f t="shared" si="21"/>
        <v>19.05</v>
      </c>
      <c r="W648" t="str">
        <f t="shared" si="22"/>
        <v>0.75" (19.05 mm)</v>
      </c>
    </row>
    <row r="649" spans="18:23">
      <c r="R649">
        <v>671</v>
      </c>
      <c r="S649">
        <v>0.75</v>
      </c>
      <c r="T649">
        <v>0.25</v>
      </c>
      <c r="U649">
        <v>0.375</v>
      </c>
      <c r="V649">
        <f t="shared" si="21"/>
        <v>19.05</v>
      </c>
      <c r="W649" t="str">
        <f t="shared" si="22"/>
        <v>0.75" (19.05 mm)</v>
      </c>
    </row>
    <row r="650" spans="18:23">
      <c r="R650">
        <v>672</v>
      </c>
      <c r="S650">
        <v>0.75</v>
      </c>
      <c r="T650">
        <v>0.25</v>
      </c>
      <c r="U650">
        <v>0.375</v>
      </c>
      <c r="V650">
        <f t="shared" si="21"/>
        <v>19.05</v>
      </c>
      <c r="W650" t="str">
        <f t="shared" si="22"/>
        <v>0.75" (19.05 mm)</v>
      </c>
    </row>
    <row r="651" spans="18:23">
      <c r="R651">
        <v>673</v>
      </c>
      <c r="S651">
        <v>0.75</v>
      </c>
      <c r="T651">
        <v>0.25</v>
      </c>
      <c r="U651">
        <v>0.375</v>
      </c>
      <c r="V651">
        <f t="shared" si="21"/>
        <v>19.05</v>
      </c>
      <c r="W651" t="str">
        <f t="shared" si="22"/>
        <v>0.75" (19.05 mm)</v>
      </c>
    </row>
    <row r="652" spans="18:23">
      <c r="R652">
        <v>674</v>
      </c>
      <c r="S652">
        <v>0.75</v>
      </c>
      <c r="T652">
        <v>0.25</v>
      </c>
      <c r="U652">
        <v>0.375</v>
      </c>
      <c r="V652">
        <f t="shared" si="21"/>
        <v>19.05</v>
      </c>
      <c r="W652" t="str">
        <f t="shared" si="22"/>
        <v>0.75" (19.05 mm)</v>
      </c>
    </row>
    <row r="653" spans="18:23">
      <c r="R653">
        <v>675</v>
      </c>
      <c r="S653">
        <v>0.75</v>
      </c>
      <c r="T653">
        <v>0.25</v>
      </c>
      <c r="U653">
        <v>0.375</v>
      </c>
      <c r="V653">
        <f t="shared" si="21"/>
        <v>19.05</v>
      </c>
      <c r="W653" t="str">
        <f t="shared" si="22"/>
        <v>0.75" (19.05 mm)</v>
      </c>
    </row>
    <row r="654" spans="18:23">
      <c r="R654">
        <v>676</v>
      </c>
      <c r="S654">
        <v>0.75</v>
      </c>
      <c r="T654">
        <v>0.25</v>
      </c>
      <c r="U654">
        <v>0.375</v>
      </c>
      <c r="V654">
        <f t="shared" si="21"/>
        <v>19.05</v>
      </c>
      <c r="W654" t="str">
        <f t="shared" si="22"/>
        <v>0.75" (19.05 mm)</v>
      </c>
    </row>
    <row r="655" spans="18:23">
      <c r="R655">
        <v>677</v>
      </c>
      <c r="S655">
        <v>0.75</v>
      </c>
      <c r="T655">
        <v>0.25</v>
      </c>
      <c r="U655">
        <v>0.375</v>
      </c>
      <c r="V655">
        <f t="shared" si="21"/>
        <v>19.05</v>
      </c>
      <c r="W655" t="str">
        <f t="shared" si="22"/>
        <v>0.75" (19.05 mm)</v>
      </c>
    </row>
    <row r="656" spans="18:23">
      <c r="R656">
        <v>678</v>
      </c>
      <c r="S656">
        <v>0.75</v>
      </c>
      <c r="T656">
        <v>0.25</v>
      </c>
      <c r="U656">
        <v>0.375</v>
      </c>
      <c r="V656">
        <f t="shared" si="21"/>
        <v>19.05</v>
      </c>
      <c r="W656" t="str">
        <f t="shared" si="22"/>
        <v>0.75" (19.05 mm)</v>
      </c>
    </row>
    <row r="657" spans="18:23">
      <c r="R657">
        <v>679</v>
      </c>
      <c r="S657">
        <v>0.75</v>
      </c>
      <c r="T657">
        <v>0.25</v>
      </c>
      <c r="U657">
        <v>0.375</v>
      </c>
      <c r="V657">
        <f t="shared" si="21"/>
        <v>19.05</v>
      </c>
      <c r="W657" t="str">
        <f t="shared" si="22"/>
        <v>0.75" (19.05 mm)</v>
      </c>
    </row>
    <row r="658" spans="18:23">
      <c r="R658">
        <v>680</v>
      </c>
      <c r="S658">
        <v>0.75</v>
      </c>
      <c r="T658">
        <v>0.25</v>
      </c>
      <c r="U658">
        <v>0.375</v>
      </c>
      <c r="V658">
        <f t="shared" si="21"/>
        <v>19.05</v>
      </c>
      <c r="W658" t="str">
        <f t="shared" si="22"/>
        <v>0.75" (19.05 mm)</v>
      </c>
    </row>
    <row r="659" spans="18:23">
      <c r="R659">
        <v>681</v>
      </c>
      <c r="S659">
        <v>0.75</v>
      </c>
      <c r="T659">
        <v>0.25</v>
      </c>
      <c r="U659">
        <v>0.375</v>
      </c>
      <c r="V659">
        <f t="shared" si="21"/>
        <v>19.05</v>
      </c>
      <c r="W659" t="str">
        <f t="shared" si="22"/>
        <v>0.75" (19.05 mm)</v>
      </c>
    </row>
    <row r="660" spans="18:23">
      <c r="R660">
        <v>682</v>
      </c>
      <c r="S660">
        <v>0.75</v>
      </c>
      <c r="T660">
        <v>0.25</v>
      </c>
      <c r="U660">
        <v>0.375</v>
      </c>
      <c r="V660">
        <f t="shared" si="21"/>
        <v>19.05</v>
      </c>
      <c r="W660" t="str">
        <f t="shared" si="22"/>
        <v>0.75" (19.05 mm)</v>
      </c>
    </row>
    <row r="661" spans="18:23">
      <c r="R661">
        <v>683</v>
      </c>
      <c r="S661">
        <v>0.75</v>
      </c>
      <c r="T661">
        <v>0.25</v>
      </c>
      <c r="U661">
        <v>0.375</v>
      </c>
      <c r="V661">
        <f t="shared" si="21"/>
        <v>19.05</v>
      </c>
      <c r="W661" t="str">
        <f t="shared" si="22"/>
        <v>0.75" (19.05 mm)</v>
      </c>
    </row>
    <row r="662" spans="18:23">
      <c r="R662">
        <v>684</v>
      </c>
      <c r="S662">
        <v>0.75</v>
      </c>
      <c r="T662">
        <v>0.25</v>
      </c>
      <c r="U662">
        <v>0.375</v>
      </c>
      <c r="V662">
        <f t="shared" si="21"/>
        <v>19.05</v>
      </c>
      <c r="W662" t="str">
        <f t="shared" si="22"/>
        <v>0.75" (19.05 mm)</v>
      </c>
    </row>
    <row r="663" spans="18:23">
      <c r="R663">
        <v>685</v>
      </c>
      <c r="S663">
        <v>0.75</v>
      </c>
      <c r="T663">
        <v>0.25</v>
      </c>
      <c r="U663">
        <v>0.375</v>
      </c>
      <c r="V663">
        <f t="shared" si="21"/>
        <v>19.05</v>
      </c>
      <c r="W663" t="str">
        <f t="shared" si="22"/>
        <v>0.75" (19.05 mm)</v>
      </c>
    </row>
    <row r="664" spans="18:23">
      <c r="R664">
        <v>686</v>
      </c>
      <c r="S664">
        <v>0.75</v>
      </c>
      <c r="T664">
        <v>0.25</v>
      </c>
      <c r="U664">
        <v>0.375</v>
      </c>
      <c r="V664">
        <f t="shared" si="21"/>
        <v>19.05</v>
      </c>
      <c r="W664" t="str">
        <f t="shared" si="22"/>
        <v>0.75" (19.05 mm)</v>
      </c>
    </row>
    <row r="665" spans="18:23">
      <c r="R665">
        <v>687</v>
      </c>
      <c r="S665">
        <v>0.75</v>
      </c>
      <c r="T665">
        <v>0.25</v>
      </c>
      <c r="U665">
        <v>0.375</v>
      </c>
      <c r="V665">
        <f t="shared" si="21"/>
        <v>19.05</v>
      </c>
      <c r="W665" t="str">
        <f t="shared" si="22"/>
        <v>0.75" (19.05 mm)</v>
      </c>
    </row>
    <row r="666" spans="18:23">
      <c r="R666">
        <v>688</v>
      </c>
      <c r="S666">
        <v>0.75</v>
      </c>
      <c r="T666">
        <v>0.25</v>
      </c>
      <c r="U666">
        <v>0.375</v>
      </c>
      <c r="V666">
        <f t="shared" si="21"/>
        <v>19.05</v>
      </c>
      <c r="W666" t="str">
        <f t="shared" si="22"/>
        <v>0.75" (19.05 mm)</v>
      </c>
    </row>
    <row r="667" spans="18:23">
      <c r="R667">
        <v>689</v>
      </c>
      <c r="S667">
        <v>0.75</v>
      </c>
      <c r="T667">
        <v>0.25</v>
      </c>
      <c r="U667">
        <v>0.375</v>
      </c>
      <c r="V667">
        <f t="shared" si="21"/>
        <v>19.05</v>
      </c>
      <c r="W667" t="str">
        <f t="shared" si="22"/>
        <v>0.75" (19.05 mm)</v>
      </c>
    </row>
    <row r="668" spans="18:23">
      <c r="R668">
        <v>690</v>
      </c>
      <c r="S668">
        <v>0.75</v>
      </c>
      <c r="T668">
        <v>0.25</v>
      </c>
      <c r="U668">
        <v>0.375</v>
      </c>
      <c r="V668">
        <f t="shared" si="21"/>
        <v>19.05</v>
      </c>
      <c r="W668" t="str">
        <f t="shared" si="22"/>
        <v>0.75" (19.05 mm)</v>
      </c>
    </row>
    <row r="669" spans="18:23">
      <c r="R669">
        <v>691</v>
      </c>
      <c r="S669">
        <v>0.75</v>
      </c>
      <c r="T669">
        <v>0.25</v>
      </c>
      <c r="U669">
        <v>0.375</v>
      </c>
      <c r="V669">
        <f t="shared" si="21"/>
        <v>19.05</v>
      </c>
      <c r="W669" t="str">
        <f t="shared" si="22"/>
        <v>0.75" (19.05 mm)</v>
      </c>
    </row>
    <row r="670" spans="18:23">
      <c r="R670">
        <v>692</v>
      </c>
      <c r="S670">
        <v>0.75</v>
      </c>
      <c r="T670">
        <v>0.25</v>
      </c>
      <c r="U670">
        <v>0.375</v>
      </c>
      <c r="V670">
        <f t="shared" si="21"/>
        <v>19.05</v>
      </c>
      <c r="W670" t="str">
        <f t="shared" si="22"/>
        <v>0.75" (19.05 mm)</v>
      </c>
    </row>
    <row r="671" spans="18:23">
      <c r="R671">
        <v>693</v>
      </c>
      <c r="S671">
        <v>0.75</v>
      </c>
      <c r="T671">
        <v>0.25</v>
      </c>
      <c r="U671">
        <v>0.375</v>
      </c>
      <c r="V671">
        <f t="shared" si="21"/>
        <v>19.05</v>
      </c>
      <c r="W671" t="str">
        <f t="shared" si="22"/>
        <v>0.75" (19.05 mm)</v>
      </c>
    </row>
    <row r="672" spans="18:23">
      <c r="R672">
        <v>694</v>
      </c>
      <c r="S672">
        <v>0.75</v>
      </c>
      <c r="T672">
        <v>0.25</v>
      </c>
      <c r="U672">
        <v>0.375</v>
      </c>
      <c r="V672">
        <f t="shared" si="21"/>
        <v>19.05</v>
      </c>
      <c r="W672" t="str">
        <f t="shared" si="22"/>
        <v>0.75" (19.05 mm)</v>
      </c>
    </row>
    <row r="673" spans="18:23">
      <c r="R673">
        <v>695</v>
      </c>
      <c r="S673">
        <v>0.75</v>
      </c>
      <c r="T673">
        <v>0.25</v>
      </c>
      <c r="U673">
        <v>0.375</v>
      </c>
      <c r="V673">
        <f t="shared" si="21"/>
        <v>19.05</v>
      </c>
      <c r="W673" t="str">
        <f t="shared" si="22"/>
        <v>0.75" (19.05 mm)</v>
      </c>
    </row>
    <row r="674" spans="18:23">
      <c r="R674">
        <v>696</v>
      </c>
      <c r="S674">
        <v>0.75</v>
      </c>
      <c r="T674">
        <v>0.25</v>
      </c>
      <c r="U674">
        <v>0.375</v>
      </c>
      <c r="V674">
        <f t="shared" si="21"/>
        <v>19.05</v>
      </c>
      <c r="W674" t="str">
        <f t="shared" si="22"/>
        <v>0.75" (19.05 mm)</v>
      </c>
    </row>
    <row r="675" spans="18:23">
      <c r="R675">
        <v>697</v>
      </c>
      <c r="S675">
        <v>0.75</v>
      </c>
      <c r="T675">
        <v>0.25</v>
      </c>
      <c r="U675">
        <v>0.375</v>
      </c>
      <c r="V675">
        <f t="shared" si="21"/>
        <v>19.05</v>
      </c>
      <c r="W675" t="str">
        <f t="shared" si="22"/>
        <v>0.75" (19.05 mm)</v>
      </c>
    </row>
    <row r="676" spans="18:23">
      <c r="R676">
        <v>698</v>
      </c>
      <c r="S676">
        <v>0.75</v>
      </c>
      <c r="T676">
        <v>0.25</v>
      </c>
      <c r="U676">
        <v>0.375</v>
      </c>
      <c r="V676">
        <f t="shared" si="21"/>
        <v>19.05</v>
      </c>
      <c r="W676" t="str">
        <f t="shared" si="22"/>
        <v>0.75" (19.05 mm)</v>
      </c>
    </row>
    <row r="677" spans="18:23">
      <c r="R677">
        <v>699</v>
      </c>
      <c r="S677">
        <v>0.75</v>
      </c>
      <c r="T677">
        <v>0.25</v>
      </c>
      <c r="U677">
        <v>0.375</v>
      </c>
      <c r="V677">
        <f t="shared" si="21"/>
        <v>19.05</v>
      </c>
      <c r="W677" t="str">
        <f t="shared" si="22"/>
        <v>0.75" (19.05 mm)</v>
      </c>
    </row>
    <row r="678" spans="18:23">
      <c r="R678">
        <v>700</v>
      </c>
      <c r="S678">
        <v>0.75</v>
      </c>
      <c r="T678">
        <v>0.25</v>
      </c>
      <c r="U678">
        <v>0.375</v>
      </c>
      <c r="V678">
        <f t="shared" si="21"/>
        <v>19.05</v>
      </c>
      <c r="W678" t="str">
        <f t="shared" si="22"/>
        <v>0.75" (19.05 mm)</v>
      </c>
    </row>
    <row r="679" spans="18:23">
      <c r="R679">
        <v>701</v>
      </c>
      <c r="S679">
        <v>0.875</v>
      </c>
      <c r="T679">
        <v>0.25</v>
      </c>
      <c r="U679">
        <v>0.375</v>
      </c>
      <c r="V679">
        <f t="shared" si="21"/>
        <v>22.225000000000001</v>
      </c>
      <c r="W679" t="str">
        <f t="shared" si="22"/>
        <v>0.875" (22.225 mm)</v>
      </c>
    </row>
    <row r="680" spans="18:23">
      <c r="R680">
        <v>702</v>
      </c>
      <c r="S680">
        <v>0.875</v>
      </c>
      <c r="T680">
        <v>0.25</v>
      </c>
      <c r="U680">
        <v>0.375</v>
      </c>
      <c r="V680">
        <f t="shared" si="21"/>
        <v>22.225000000000001</v>
      </c>
      <c r="W680" t="str">
        <f t="shared" si="22"/>
        <v>0.875" (22.225 mm)</v>
      </c>
    </row>
    <row r="681" spans="18:23">
      <c r="R681">
        <v>703</v>
      </c>
      <c r="S681">
        <v>0.875</v>
      </c>
      <c r="T681">
        <v>0.25</v>
      </c>
      <c r="U681">
        <v>0.375</v>
      </c>
      <c r="V681">
        <f t="shared" si="21"/>
        <v>22.225000000000001</v>
      </c>
      <c r="W681" t="str">
        <f t="shared" si="22"/>
        <v>0.875" (22.225 mm)</v>
      </c>
    </row>
    <row r="682" spans="18:23">
      <c r="R682">
        <v>704</v>
      </c>
      <c r="S682">
        <v>0.875</v>
      </c>
      <c r="T682">
        <v>0.25</v>
      </c>
      <c r="U682">
        <v>0.375</v>
      </c>
      <c r="V682">
        <f t="shared" si="21"/>
        <v>22.225000000000001</v>
      </c>
      <c r="W682" t="str">
        <f t="shared" si="22"/>
        <v>0.875" (22.225 mm)</v>
      </c>
    </row>
    <row r="683" spans="18:23">
      <c r="R683">
        <v>705</v>
      </c>
      <c r="S683">
        <v>0.875</v>
      </c>
      <c r="T683">
        <v>0.25</v>
      </c>
      <c r="U683">
        <v>0.375</v>
      </c>
      <c r="V683">
        <f t="shared" si="21"/>
        <v>22.225000000000001</v>
      </c>
      <c r="W683" t="str">
        <f t="shared" si="22"/>
        <v>0.875" (22.225 mm)</v>
      </c>
    </row>
    <row r="684" spans="18:23">
      <c r="R684">
        <v>706</v>
      </c>
      <c r="S684">
        <v>0.875</v>
      </c>
      <c r="T684">
        <v>0.25</v>
      </c>
      <c r="U684">
        <v>0.375</v>
      </c>
      <c r="V684">
        <f t="shared" si="21"/>
        <v>22.225000000000001</v>
      </c>
      <c r="W684" t="str">
        <f t="shared" si="22"/>
        <v>0.875" (22.225 mm)</v>
      </c>
    </row>
    <row r="685" spans="18:23">
      <c r="R685">
        <v>707</v>
      </c>
      <c r="S685">
        <v>0.875</v>
      </c>
      <c r="T685">
        <v>0.25</v>
      </c>
      <c r="U685">
        <v>0.375</v>
      </c>
      <c r="V685">
        <f t="shared" si="21"/>
        <v>22.225000000000001</v>
      </c>
      <c r="W685" t="str">
        <f t="shared" si="22"/>
        <v>0.875" (22.225 mm)</v>
      </c>
    </row>
    <row r="686" spans="18:23">
      <c r="R686">
        <v>708</v>
      </c>
      <c r="S686">
        <v>0.875</v>
      </c>
      <c r="T686">
        <v>0.25</v>
      </c>
      <c r="U686">
        <v>0.375</v>
      </c>
      <c r="V686">
        <f t="shared" si="21"/>
        <v>22.225000000000001</v>
      </c>
      <c r="W686" t="str">
        <f t="shared" si="22"/>
        <v>0.875" (22.225 mm)</v>
      </c>
    </row>
    <row r="687" spans="18:23">
      <c r="R687">
        <v>709</v>
      </c>
      <c r="S687">
        <v>0.875</v>
      </c>
      <c r="T687">
        <v>0.25</v>
      </c>
      <c r="U687">
        <v>0.375</v>
      </c>
      <c r="V687">
        <f t="shared" si="21"/>
        <v>22.225000000000001</v>
      </c>
      <c r="W687" t="str">
        <f t="shared" si="22"/>
        <v>0.875" (22.225 mm)</v>
      </c>
    </row>
    <row r="688" spans="18:23">
      <c r="R688">
        <v>710</v>
      </c>
      <c r="S688">
        <v>0.875</v>
      </c>
      <c r="T688">
        <v>0.25</v>
      </c>
      <c r="U688">
        <v>0.375</v>
      </c>
      <c r="V688">
        <f t="shared" si="21"/>
        <v>22.225000000000001</v>
      </c>
      <c r="W688" t="str">
        <f t="shared" si="22"/>
        <v>0.875" (22.225 mm)</v>
      </c>
    </row>
    <row r="689" spans="18:23">
      <c r="R689">
        <v>711</v>
      </c>
      <c r="S689">
        <v>0.875</v>
      </c>
      <c r="T689">
        <v>0.25</v>
      </c>
      <c r="U689">
        <v>0.375</v>
      </c>
      <c r="V689">
        <f t="shared" si="21"/>
        <v>22.225000000000001</v>
      </c>
      <c r="W689" t="str">
        <f t="shared" si="22"/>
        <v>0.875" (22.225 mm)</v>
      </c>
    </row>
    <row r="690" spans="18:23">
      <c r="R690">
        <v>712</v>
      </c>
      <c r="S690">
        <v>0.875</v>
      </c>
      <c r="T690">
        <v>0.25</v>
      </c>
      <c r="U690">
        <v>0.375</v>
      </c>
      <c r="V690">
        <f t="shared" si="21"/>
        <v>22.225000000000001</v>
      </c>
      <c r="W690" t="str">
        <f t="shared" si="22"/>
        <v>0.875" (22.225 mm)</v>
      </c>
    </row>
    <row r="691" spans="18:23">
      <c r="R691">
        <v>713</v>
      </c>
      <c r="S691">
        <v>0.875</v>
      </c>
      <c r="T691">
        <v>0.25</v>
      </c>
      <c r="U691">
        <v>0.375</v>
      </c>
      <c r="V691">
        <f t="shared" si="21"/>
        <v>22.225000000000001</v>
      </c>
      <c r="W691" t="str">
        <f t="shared" si="22"/>
        <v>0.875" (22.225 mm)</v>
      </c>
    </row>
    <row r="692" spans="18:23">
      <c r="R692">
        <v>714</v>
      </c>
      <c r="S692">
        <v>0.875</v>
      </c>
      <c r="T692">
        <v>0.25</v>
      </c>
      <c r="U692">
        <v>0.375</v>
      </c>
      <c r="V692">
        <f t="shared" si="21"/>
        <v>22.225000000000001</v>
      </c>
      <c r="W692" t="str">
        <f t="shared" si="22"/>
        <v>0.875" (22.225 mm)</v>
      </c>
    </row>
    <row r="693" spans="18:23">
      <c r="R693">
        <v>715</v>
      </c>
      <c r="S693">
        <v>0.875</v>
      </c>
      <c r="T693">
        <v>0.25</v>
      </c>
      <c r="U693">
        <v>0.375</v>
      </c>
      <c r="V693">
        <f t="shared" si="21"/>
        <v>22.225000000000001</v>
      </c>
      <c r="W693" t="str">
        <f t="shared" si="22"/>
        <v>0.875" (22.225 mm)</v>
      </c>
    </row>
    <row r="694" spans="18:23">
      <c r="R694">
        <v>716</v>
      </c>
      <c r="S694">
        <v>0.875</v>
      </c>
      <c r="T694">
        <v>0.25</v>
      </c>
      <c r="U694">
        <v>0.375</v>
      </c>
      <c r="V694">
        <f t="shared" si="21"/>
        <v>22.225000000000001</v>
      </c>
      <c r="W694" t="str">
        <f t="shared" si="22"/>
        <v>0.875" (22.225 mm)</v>
      </c>
    </row>
    <row r="695" spans="18:23">
      <c r="R695">
        <v>717</v>
      </c>
      <c r="S695">
        <v>0.875</v>
      </c>
      <c r="T695">
        <v>0.25</v>
      </c>
      <c r="U695">
        <v>0.375</v>
      </c>
      <c r="V695">
        <f t="shared" si="21"/>
        <v>22.225000000000001</v>
      </c>
      <c r="W695" t="str">
        <f t="shared" si="22"/>
        <v>0.875" (22.225 mm)</v>
      </c>
    </row>
    <row r="696" spans="18:23">
      <c r="R696">
        <v>718</v>
      </c>
      <c r="S696">
        <v>0.875</v>
      </c>
      <c r="T696">
        <v>0.25</v>
      </c>
      <c r="U696">
        <v>0.375</v>
      </c>
      <c r="V696">
        <f t="shared" si="21"/>
        <v>22.225000000000001</v>
      </c>
      <c r="W696" t="str">
        <f t="shared" si="22"/>
        <v>0.875" (22.225 mm)</v>
      </c>
    </row>
    <row r="697" spans="18:23">
      <c r="R697">
        <v>719</v>
      </c>
      <c r="S697">
        <v>0.875</v>
      </c>
      <c r="T697">
        <v>0.25</v>
      </c>
      <c r="U697">
        <v>0.375</v>
      </c>
      <c r="V697">
        <f t="shared" si="21"/>
        <v>22.225000000000001</v>
      </c>
      <c r="W697" t="str">
        <f t="shared" si="22"/>
        <v>0.875" (22.225 mm)</v>
      </c>
    </row>
    <row r="698" spans="18:23">
      <c r="R698">
        <v>720</v>
      </c>
      <c r="S698">
        <v>0.875</v>
      </c>
      <c r="T698">
        <v>0.25</v>
      </c>
      <c r="U698">
        <v>0.375</v>
      </c>
      <c r="V698">
        <f t="shared" si="21"/>
        <v>22.225000000000001</v>
      </c>
      <c r="W698" t="str">
        <f t="shared" si="22"/>
        <v>0.875" (22.225 mm)</v>
      </c>
    </row>
    <row r="699" spans="18:23">
      <c r="R699">
        <v>721</v>
      </c>
      <c r="S699">
        <v>0.875</v>
      </c>
      <c r="T699">
        <v>0.25</v>
      </c>
      <c r="U699">
        <v>0.375</v>
      </c>
      <c r="V699">
        <f t="shared" si="21"/>
        <v>22.225000000000001</v>
      </c>
      <c r="W699" t="str">
        <f t="shared" si="22"/>
        <v>0.875" (22.225 mm)</v>
      </c>
    </row>
    <row r="700" spans="18:23">
      <c r="R700">
        <v>722</v>
      </c>
      <c r="S700">
        <v>0.875</v>
      </c>
      <c r="T700">
        <v>0.25</v>
      </c>
      <c r="U700">
        <v>0.375</v>
      </c>
      <c r="V700">
        <f t="shared" si="21"/>
        <v>22.225000000000001</v>
      </c>
      <c r="W700" t="str">
        <f t="shared" si="22"/>
        <v>0.875" (22.225 mm)</v>
      </c>
    </row>
    <row r="701" spans="18:23">
      <c r="R701">
        <v>723</v>
      </c>
      <c r="S701">
        <v>0.875</v>
      </c>
      <c r="T701">
        <v>0.25</v>
      </c>
      <c r="U701">
        <v>0.375</v>
      </c>
      <c r="V701">
        <f t="shared" si="21"/>
        <v>22.225000000000001</v>
      </c>
      <c r="W701" t="str">
        <f t="shared" si="22"/>
        <v>0.875" (22.225 mm)</v>
      </c>
    </row>
    <row r="702" spans="18:23">
      <c r="R702">
        <v>724</v>
      </c>
      <c r="S702">
        <v>0.875</v>
      </c>
      <c r="T702">
        <v>0.25</v>
      </c>
      <c r="U702">
        <v>0.375</v>
      </c>
      <c r="V702">
        <f t="shared" si="21"/>
        <v>22.225000000000001</v>
      </c>
      <c r="W702" t="str">
        <f t="shared" si="22"/>
        <v>0.875" (22.225 mm)</v>
      </c>
    </row>
    <row r="703" spans="18:23">
      <c r="R703">
        <v>725</v>
      </c>
      <c r="S703">
        <v>0.875</v>
      </c>
      <c r="T703">
        <v>0.25</v>
      </c>
      <c r="U703">
        <v>0.375</v>
      </c>
      <c r="V703">
        <f t="shared" si="21"/>
        <v>22.225000000000001</v>
      </c>
      <c r="W703" t="str">
        <f t="shared" si="22"/>
        <v>0.875" (22.225 mm)</v>
      </c>
    </row>
    <row r="704" spans="18:23">
      <c r="R704">
        <v>726</v>
      </c>
      <c r="S704">
        <v>0.875</v>
      </c>
      <c r="T704">
        <v>0.25</v>
      </c>
      <c r="U704">
        <v>0.375</v>
      </c>
      <c r="V704">
        <f t="shared" si="21"/>
        <v>22.225000000000001</v>
      </c>
      <c r="W704" t="str">
        <f t="shared" si="22"/>
        <v>0.875" (22.225 mm)</v>
      </c>
    </row>
    <row r="705" spans="18:23">
      <c r="R705">
        <v>727</v>
      </c>
      <c r="S705">
        <v>0.875</v>
      </c>
      <c r="T705">
        <v>0.25</v>
      </c>
      <c r="U705">
        <v>0.375</v>
      </c>
      <c r="V705">
        <f t="shared" si="21"/>
        <v>22.225000000000001</v>
      </c>
      <c r="W705" t="str">
        <f t="shared" si="22"/>
        <v>0.875" (22.225 mm)</v>
      </c>
    </row>
    <row r="706" spans="18:23">
      <c r="R706">
        <v>728</v>
      </c>
      <c r="S706">
        <v>0.875</v>
      </c>
      <c r="T706">
        <v>0.25</v>
      </c>
      <c r="U706">
        <v>0.375</v>
      </c>
      <c r="V706">
        <f t="shared" ref="V706:V769" si="23">ROUND(S706*mm, 5)</f>
        <v>22.225000000000001</v>
      </c>
      <c r="W706" t="str">
        <f t="shared" si="22"/>
        <v>0.875" (22.225 mm)</v>
      </c>
    </row>
    <row r="707" spans="18:23">
      <c r="R707">
        <v>729</v>
      </c>
      <c r="S707">
        <v>0.875</v>
      </c>
      <c r="T707">
        <v>0.25</v>
      </c>
      <c r="U707">
        <v>0.375</v>
      </c>
      <c r="V707">
        <f t="shared" si="23"/>
        <v>22.225000000000001</v>
      </c>
      <c r="W707" t="str">
        <f t="shared" ref="W707:W770" si="24">S707&amp;""""&amp;" ("&amp;V707&amp;" mm)"</f>
        <v>0.875" (22.225 mm)</v>
      </c>
    </row>
    <row r="708" spans="18:23">
      <c r="R708">
        <v>730</v>
      </c>
      <c r="S708">
        <v>0.875</v>
      </c>
      <c r="T708">
        <v>0.25</v>
      </c>
      <c r="U708">
        <v>0.375</v>
      </c>
      <c r="V708">
        <f t="shared" si="23"/>
        <v>22.225000000000001</v>
      </c>
      <c r="W708" t="str">
        <f t="shared" si="24"/>
        <v>0.875" (22.225 mm)</v>
      </c>
    </row>
    <row r="709" spans="18:23">
      <c r="R709">
        <v>731</v>
      </c>
      <c r="S709">
        <v>0.875</v>
      </c>
      <c r="T709">
        <v>0.25</v>
      </c>
      <c r="U709">
        <v>0.375</v>
      </c>
      <c r="V709">
        <f t="shared" si="23"/>
        <v>22.225000000000001</v>
      </c>
      <c r="W709" t="str">
        <f t="shared" si="24"/>
        <v>0.875" (22.225 mm)</v>
      </c>
    </row>
    <row r="710" spans="18:23">
      <c r="R710">
        <v>732</v>
      </c>
      <c r="S710">
        <v>0.875</v>
      </c>
      <c r="T710">
        <v>0.25</v>
      </c>
      <c r="U710">
        <v>0.375</v>
      </c>
      <c r="V710">
        <f t="shared" si="23"/>
        <v>22.225000000000001</v>
      </c>
      <c r="W710" t="str">
        <f t="shared" si="24"/>
        <v>0.875" (22.225 mm)</v>
      </c>
    </row>
    <row r="711" spans="18:23">
      <c r="R711">
        <v>733</v>
      </c>
      <c r="S711">
        <v>0.875</v>
      </c>
      <c r="T711">
        <v>0.25</v>
      </c>
      <c r="U711">
        <v>0.375</v>
      </c>
      <c r="V711">
        <f t="shared" si="23"/>
        <v>22.225000000000001</v>
      </c>
      <c r="W711" t="str">
        <f t="shared" si="24"/>
        <v>0.875" (22.225 mm)</v>
      </c>
    </row>
    <row r="712" spans="18:23">
      <c r="R712">
        <v>734</v>
      </c>
      <c r="S712">
        <v>0.875</v>
      </c>
      <c r="T712">
        <v>0.25</v>
      </c>
      <c r="U712">
        <v>0.375</v>
      </c>
      <c r="V712">
        <f t="shared" si="23"/>
        <v>22.225000000000001</v>
      </c>
      <c r="W712" t="str">
        <f t="shared" si="24"/>
        <v>0.875" (22.225 mm)</v>
      </c>
    </row>
    <row r="713" spans="18:23">
      <c r="R713">
        <v>735</v>
      </c>
      <c r="S713">
        <v>0.875</v>
      </c>
      <c r="T713">
        <v>0.25</v>
      </c>
      <c r="U713">
        <v>0.375</v>
      </c>
      <c r="V713">
        <f t="shared" si="23"/>
        <v>22.225000000000001</v>
      </c>
      <c r="W713" t="str">
        <f t="shared" si="24"/>
        <v>0.875" (22.225 mm)</v>
      </c>
    </row>
    <row r="714" spans="18:23">
      <c r="R714">
        <v>736</v>
      </c>
      <c r="S714">
        <v>0.875</v>
      </c>
      <c r="T714">
        <v>0.25</v>
      </c>
      <c r="U714">
        <v>0.375</v>
      </c>
      <c r="V714">
        <f t="shared" si="23"/>
        <v>22.225000000000001</v>
      </c>
      <c r="W714" t="str">
        <f t="shared" si="24"/>
        <v>0.875" (22.225 mm)</v>
      </c>
    </row>
    <row r="715" spans="18:23">
      <c r="R715">
        <v>737</v>
      </c>
      <c r="S715">
        <v>0.875</v>
      </c>
      <c r="T715">
        <v>0.25</v>
      </c>
      <c r="U715">
        <v>0.375</v>
      </c>
      <c r="V715">
        <f t="shared" si="23"/>
        <v>22.225000000000001</v>
      </c>
      <c r="W715" t="str">
        <f t="shared" si="24"/>
        <v>0.875" (22.225 mm)</v>
      </c>
    </row>
    <row r="716" spans="18:23">
      <c r="R716">
        <v>738</v>
      </c>
      <c r="S716">
        <v>0.875</v>
      </c>
      <c r="T716">
        <v>0.25</v>
      </c>
      <c r="U716">
        <v>0.375</v>
      </c>
      <c r="V716">
        <f t="shared" si="23"/>
        <v>22.225000000000001</v>
      </c>
      <c r="W716" t="str">
        <f t="shared" si="24"/>
        <v>0.875" (22.225 mm)</v>
      </c>
    </row>
    <row r="717" spans="18:23">
      <c r="R717">
        <v>739</v>
      </c>
      <c r="S717">
        <v>0.875</v>
      </c>
      <c r="T717">
        <v>0.25</v>
      </c>
      <c r="U717">
        <v>0.375</v>
      </c>
      <c r="V717">
        <f t="shared" si="23"/>
        <v>22.225000000000001</v>
      </c>
      <c r="W717" t="str">
        <f t="shared" si="24"/>
        <v>0.875" (22.225 mm)</v>
      </c>
    </row>
    <row r="718" spans="18:23">
      <c r="R718">
        <v>740</v>
      </c>
      <c r="S718">
        <v>0.875</v>
      </c>
      <c r="T718">
        <v>0.25</v>
      </c>
      <c r="U718">
        <v>0.375</v>
      </c>
      <c r="V718">
        <f t="shared" si="23"/>
        <v>22.225000000000001</v>
      </c>
      <c r="W718" t="str">
        <f t="shared" si="24"/>
        <v>0.875" (22.225 mm)</v>
      </c>
    </row>
    <row r="719" spans="18:23">
      <c r="R719">
        <v>741</v>
      </c>
      <c r="S719">
        <v>0.875</v>
      </c>
      <c r="T719">
        <v>0.25</v>
      </c>
      <c r="U719">
        <v>0.375</v>
      </c>
      <c r="V719">
        <f t="shared" si="23"/>
        <v>22.225000000000001</v>
      </c>
      <c r="W719" t="str">
        <f t="shared" si="24"/>
        <v>0.875" (22.225 mm)</v>
      </c>
    </row>
    <row r="720" spans="18:23">
      <c r="R720">
        <v>742</v>
      </c>
      <c r="S720">
        <v>0.875</v>
      </c>
      <c r="T720">
        <v>0.25</v>
      </c>
      <c r="U720">
        <v>0.375</v>
      </c>
      <c r="V720">
        <f t="shared" si="23"/>
        <v>22.225000000000001</v>
      </c>
      <c r="W720" t="str">
        <f t="shared" si="24"/>
        <v>0.875" (22.225 mm)</v>
      </c>
    </row>
    <row r="721" spans="18:23">
      <c r="R721">
        <v>743</v>
      </c>
      <c r="S721">
        <v>0.875</v>
      </c>
      <c r="T721">
        <v>0.25</v>
      </c>
      <c r="U721">
        <v>0.375</v>
      </c>
      <c r="V721">
        <f t="shared" si="23"/>
        <v>22.225000000000001</v>
      </c>
      <c r="W721" t="str">
        <f t="shared" si="24"/>
        <v>0.875" (22.225 mm)</v>
      </c>
    </row>
    <row r="722" spans="18:23">
      <c r="R722">
        <v>744</v>
      </c>
      <c r="S722">
        <v>0.875</v>
      </c>
      <c r="T722">
        <v>0.25</v>
      </c>
      <c r="U722">
        <v>0.375</v>
      </c>
      <c r="V722">
        <f t="shared" si="23"/>
        <v>22.225000000000001</v>
      </c>
      <c r="W722" t="str">
        <f t="shared" si="24"/>
        <v>0.875" (22.225 mm)</v>
      </c>
    </row>
    <row r="723" spans="18:23">
      <c r="R723">
        <v>745</v>
      </c>
      <c r="S723">
        <v>0.875</v>
      </c>
      <c r="T723">
        <v>0.25</v>
      </c>
      <c r="U723">
        <v>0.375</v>
      </c>
      <c r="V723">
        <f t="shared" si="23"/>
        <v>22.225000000000001</v>
      </c>
      <c r="W723" t="str">
        <f t="shared" si="24"/>
        <v>0.875" (22.225 mm)</v>
      </c>
    </row>
    <row r="724" spans="18:23">
      <c r="R724">
        <v>746</v>
      </c>
      <c r="S724">
        <v>0.875</v>
      </c>
      <c r="T724">
        <v>0.25</v>
      </c>
      <c r="U724">
        <v>0.375</v>
      </c>
      <c r="V724">
        <f t="shared" si="23"/>
        <v>22.225000000000001</v>
      </c>
      <c r="W724" t="str">
        <f t="shared" si="24"/>
        <v>0.875" (22.225 mm)</v>
      </c>
    </row>
    <row r="725" spans="18:23">
      <c r="R725">
        <v>747</v>
      </c>
      <c r="S725">
        <v>0.875</v>
      </c>
      <c r="T725">
        <v>0.25</v>
      </c>
      <c r="U725">
        <v>0.375</v>
      </c>
      <c r="V725">
        <f t="shared" si="23"/>
        <v>22.225000000000001</v>
      </c>
      <c r="W725" t="str">
        <f t="shared" si="24"/>
        <v>0.875" (22.225 mm)</v>
      </c>
    </row>
    <row r="726" spans="18:23">
      <c r="R726">
        <v>748</v>
      </c>
      <c r="S726">
        <v>0.875</v>
      </c>
      <c r="T726">
        <v>0.25</v>
      </c>
      <c r="U726">
        <v>0.375</v>
      </c>
      <c r="V726">
        <f t="shared" si="23"/>
        <v>22.225000000000001</v>
      </c>
      <c r="W726" t="str">
        <f t="shared" si="24"/>
        <v>0.875" (22.225 mm)</v>
      </c>
    </row>
    <row r="727" spans="18:23">
      <c r="R727">
        <v>749</v>
      </c>
      <c r="S727">
        <v>0.875</v>
      </c>
      <c r="T727">
        <v>0.25</v>
      </c>
      <c r="U727">
        <v>0.375</v>
      </c>
      <c r="V727">
        <f t="shared" si="23"/>
        <v>22.225000000000001</v>
      </c>
      <c r="W727" t="str">
        <f t="shared" si="24"/>
        <v>0.875" (22.225 mm)</v>
      </c>
    </row>
    <row r="728" spans="18:23">
      <c r="R728">
        <v>750</v>
      </c>
      <c r="S728">
        <v>0.875</v>
      </c>
      <c r="T728">
        <v>0.25</v>
      </c>
      <c r="U728">
        <v>0.375</v>
      </c>
      <c r="V728">
        <f t="shared" si="23"/>
        <v>22.225000000000001</v>
      </c>
      <c r="W728" t="str">
        <f t="shared" si="24"/>
        <v>0.875" (22.225 mm)</v>
      </c>
    </row>
    <row r="729" spans="18:23">
      <c r="R729">
        <v>751</v>
      </c>
      <c r="S729">
        <v>0.875</v>
      </c>
      <c r="T729">
        <v>0.25</v>
      </c>
      <c r="U729">
        <v>0.375</v>
      </c>
      <c r="V729">
        <f t="shared" si="23"/>
        <v>22.225000000000001</v>
      </c>
      <c r="W729" t="str">
        <f t="shared" si="24"/>
        <v>0.875" (22.225 mm)</v>
      </c>
    </row>
    <row r="730" spans="18:23">
      <c r="R730">
        <v>752</v>
      </c>
      <c r="S730">
        <v>0.875</v>
      </c>
      <c r="T730">
        <v>0.25</v>
      </c>
      <c r="U730">
        <v>0.375</v>
      </c>
      <c r="V730">
        <f t="shared" si="23"/>
        <v>22.225000000000001</v>
      </c>
      <c r="W730" t="str">
        <f t="shared" si="24"/>
        <v>0.875" (22.225 mm)</v>
      </c>
    </row>
    <row r="731" spans="18:23">
      <c r="R731">
        <v>753</v>
      </c>
      <c r="S731">
        <v>0.875</v>
      </c>
      <c r="T731">
        <v>0.25</v>
      </c>
      <c r="U731">
        <v>0.375</v>
      </c>
      <c r="V731">
        <f t="shared" si="23"/>
        <v>22.225000000000001</v>
      </c>
      <c r="W731" t="str">
        <f t="shared" si="24"/>
        <v>0.875" (22.225 mm)</v>
      </c>
    </row>
    <row r="732" spans="18:23">
      <c r="R732">
        <v>754</v>
      </c>
      <c r="S732">
        <v>0.875</v>
      </c>
      <c r="T732">
        <v>0.25</v>
      </c>
      <c r="U732">
        <v>0.375</v>
      </c>
      <c r="V732">
        <f t="shared" si="23"/>
        <v>22.225000000000001</v>
      </c>
      <c r="W732" t="str">
        <f t="shared" si="24"/>
        <v>0.875" (22.225 mm)</v>
      </c>
    </row>
    <row r="733" spans="18:23">
      <c r="R733">
        <v>755</v>
      </c>
      <c r="S733">
        <v>0.875</v>
      </c>
      <c r="T733">
        <v>0.25</v>
      </c>
      <c r="U733">
        <v>0.375</v>
      </c>
      <c r="V733">
        <f t="shared" si="23"/>
        <v>22.225000000000001</v>
      </c>
      <c r="W733" t="str">
        <f t="shared" si="24"/>
        <v>0.875" (22.225 mm)</v>
      </c>
    </row>
    <row r="734" spans="18:23">
      <c r="R734">
        <v>756</v>
      </c>
      <c r="S734">
        <v>0.875</v>
      </c>
      <c r="T734">
        <v>0.25</v>
      </c>
      <c r="U734">
        <v>0.375</v>
      </c>
      <c r="V734">
        <f t="shared" si="23"/>
        <v>22.225000000000001</v>
      </c>
      <c r="W734" t="str">
        <f t="shared" si="24"/>
        <v>0.875" (22.225 mm)</v>
      </c>
    </row>
    <row r="735" spans="18:23">
      <c r="R735">
        <v>757</v>
      </c>
      <c r="S735">
        <v>0.875</v>
      </c>
      <c r="T735">
        <v>0.25</v>
      </c>
      <c r="U735">
        <v>0.375</v>
      </c>
      <c r="V735">
        <f t="shared" si="23"/>
        <v>22.225000000000001</v>
      </c>
      <c r="W735" t="str">
        <f t="shared" si="24"/>
        <v>0.875" (22.225 mm)</v>
      </c>
    </row>
    <row r="736" spans="18:23">
      <c r="R736">
        <v>758</v>
      </c>
      <c r="S736">
        <v>0.875</v>
      </c>
      <c r="T736">
        <v>0.25</v>
      </c>
      <c r="U736">
        <v>0.375</v>
      </c>
      <c r="V736">
        <f t="shared" si="23"/>
        <v>22.225000000000001</v>
      </c>
      <c r="W736" t="str">
        <f t="shared" si="24"/>
        <v>0.875" (22.225 mm)</v>
      </c>
    </row>
    <row r="737" spans="18:23">
      <c r="R737">
        <v>759</v>
      </c>
      <c r="S737">
        <v>0.875</v>
      </c>
      <c r="T737">
        <v>0.25</v>
      </c>
      <c r="U737">
        <v>0.375</v>
      </c>
      <c r="V737">
        <f t="shared" si="23"/>
        <v>22.225000000000001</v>
      </c>
      <c r="W737" t="str">
        <f t="shared" si="24"/>
        <v>0.875" (22.225 mm)</v>
      </c>
    </row>
    <row r="738" spans="18:23">
      <c r="R738">
        <v>760</v>
      </c>
      <c r="S738">
        <v>0.875</v>
      </c>
      <c r="T738">
        <v>0.25</v>
      </c>
      <c r="U738">
        <v>0.375</v>
      </c>
      <c r="V738">
        <f t="shared" si="23"/>
        <v>22.225000000000001</v>
      </c>
      <c r="W738" t="str">
        <f t="shared" si="24"/>
        <v>0.875" (22.225 mm)</v>
      </c>
    </row>
    <row r="739" spans="18:23">
      <c r="R739">
        <v>761</v>
      </c>
      <c r="S739">
        <v>0.875</v>
      </c>
      <c r="T739">
        <v>0.25</v>
      </c>
      <c r="U739">
        <v>0.375</v>
      </c>
      <c r="V739">
        <f t="shared" si="23"/>
        <v>22.225000000000001</v>
      </c>
      <c r="W739" t="str">
        <f t="shared" si="24"/>
        <v>0.875" (22.225 mm)</v>
      </c>
    </row>
    <row r="740" spans="18:23">
      <c r="R740">
        <v>762</v>
      </c>
      <c r="S740">
        <v>0.875</v>
      </c>
      <c r="T740">
        <v>0.25</v>
      </c>
      <c r="U740">
        <v>0.375</v>
      </c>
      <c r="V740">
        <f t="shared" si="23"/>
        <v>22.225000000000001</v>
      </c>
      <c r="W740" t="str">
        <f t="shared" si="24"/>
        <v>0.875" (22.225 mm)</v>
      </c>
    </row>
    <row r="741" spans="18:23">
      <c r="R741">
        <v>763</v>
      </c>
      <c r="S741">
        <v>0.875</v>
      </c>
      <c r="T741">
        <v>0.25</v>
      </c>
      <c r="U741">
        <v>0.375</v>
      </c>
      <c r="V741">
        <f t="shared" si="23"/>
        <v>22.225000000000001</v>
      </c>
      <c r="W741" t="str">
        <f t="shared" si="24"/>
        <v>0.875" (22.225 mm)</v>
      </c>
    </row>
    <row r="742" spans="18:23">
      <c r="R742">
        <v>764</v>
      </c>
      <c r="S742">
        <v>0.875</v>
      </c>
      <c r="T742">
        <v>0.25</v>
      </c>
      <c r="U742">
        <v>0.375</v>
      </c>
      <c r="V742">
        <f t="shared" si="23"/>
        <v>22.225000000000001</v>
      </c>
      <c r="W742" t="str">
        <f t="shared" si="24"/>
        <v>0.875" (22.225 mm)</v>
      </c>
    </row>
    <row r="743" spans="18:23">
      <c r="R743">
        <v>765</v>
      </c>
      <c r="S743">
        <v>0.875</v>
      </c>
      <c r="T743">
        <v>0.25</v>
      </c>
      <c r="U743">
        <v>0.375</v>
      </c>
      <c r="V743">
        <f t="shared" si="23"/>
        <v>22.225000000000001</v>
      </c>
      <c r="W743" t="str">
        <f t="shared" si="24"/>
        <v>0.875" (22.225 mm)</v>
      </c>
    </row>
    <row r="744" spans="18:23">
      <c r="R744">
        <v>766</v>
      </c>
      <c r="S744">
        <v>0.875</v>
      </c>
      <c r="T744">
        <v>0.25</v>
      </c>
      <c r="U744">
        <v>0.375</v>
      </c>
      <c r="V744">
        <f t="shared" si="23"/>
        <v>22.225000000000001</v>
      </c>
      <c r="W744" t="str">
        <f t="shared" si="24"/>
        <v>0.875" (22.225 mm)</v>
      </c>
    </row>
    <row r="745" spans="18:23">
      <c r="R745">
        <v>767</v>
      </c>
      <c r="S745">
        <v>0.875</v>
      </c>
      <c r="T745">
        <v>0.25</v>
      </c>
      <c r="U745">
        <v>0.375</v>
      </c>
      <c r="V745">
        <f t="shared" si="23"/>
        <v>22.225000000000001</v>
      </c>
      <c r="W745" t="str">
        <f t="shared" si="24"/>
        <v>0.875" (22.225 mm)</v>
      </c>
    </row>
    <row r="746" spans="18:23">
      <c r="R746">
        <v>768</v>
      </c>
      <c r="S746">
        <v>0.875</v>
      </c>
      <c r="T746">
        <v>0.25</v>
      </c>
      <c r="U746">
        <v>0.375</v>
      </c>
      <c r="V746">
        <f t="shared" si="23"/>
        <v>22.225000000000001</v>
      </c>
      <c r="W746" t="str">
        <f t="shared" si="24"/>
        <v>0.875" (22.225 mm)</v>
      </c>
    </row>
    <row r="747" spans="18:23">
      <c r="R747">
        <v>769</v>
      </c>
      <c r="S747">
        <v>0.875</v>
      </c>
      <c r="T747">
        <v>0.25</v>
      </c>
      <c r="U747">
        <v>0.375</v>
      </c>
      <c r="V747">
        <f t="shared" si="23"/>
        <v>22.225000000000001</v>
      </c>
      <c r="W747" t="str">
        <f t="shared" si="24"/>
        <v>0.875" (22.225 mm)</v>
      </c>
    </row>
    <row r="748" spans="18:23">
      <c r="R748">
        <v>770</v>
      </c>
      <c r="S748">
        <v>0.875</v>
      </c>
      <c r="T748">
        <v>0.25</v>
      </c>
      <c r="U748">
        <v>0.375</v>
      </c>
      <c r="V748">
        <f t="shared" si="23"/>
        <v>22.225000000000001</v>
      </c>
      <c r="W748" t="str">
        <f t="shared" si="24"/>
        <v>0.875" (22.225 mm)</v>
      </c>
    </row>
    <row r="749" spans="18:23">
      <c r="R749">
        <v>771</v>
      </c>
      <c r="S749">
        <v>0.875</v>
      </c>
      <c r="T749">
        <v>0.25</v>
      </c>
      <c r="U749">
        <v>0.375</v>
      </c>
      <c r="V749">
        <f t="shared" si="23"/>
        <v>22.225000000000001</v>
      </c>
      <c r="W749" t="str">
        <f t="shared" si="24"/>
        <v>0.875" (22.225 mm)</v>
      </c>
    </row>
    <row r="750" spans="18:23">
      <c r="R750">
        <v>772</v>
      </c>
      <c r="S750">
        <v>0.875</v>
      </c>
      <c r="T750">
        <v>0.25</v>
      </c>
      <c r="U750">
        <v>0.375</v>
      </c>
      <c r="V750">
        <f t="shared" si="23"/>
        <v>22.225000000000001</v>
      </c>
      <c r="W750" t="str">
        <f t="shared" si="24"/>
        <v>0.875" (22.225 mm)</v>
      </c>
    </row>
    <row r="751" spans="18:23">
      <c r="R751">
        <v>773</v>
      </c>
      <c r="S751">
        <v>0.875</v>
      </c>
      <c r="T751">
        <v>0.25</v>
      </c>
      <c r="U751">
        <v>0.375</v>
      </c>
      <c r="V751">
        <f t="shared" si="23"/>
        <v>22.225000000000001</v>
      </c>
      <c r="W751" t="str">
        <f t="shared" si="24"/>
        <v>0.875" (22.225 mm)</v>
      </c>
    </row>
    <row r="752" spans="18:23">
      <c r="R752">
        <v>774</v>
      </c>
      <c r="S752">
        <v>0.875</v>
      </c>
      <c r="T752">
        <v>0.25</v>
      </c>
      <c r="U752">
        <v>0.375</v>
      </c>
      <c r="V752">
        <f t="shared" si="23"/>
        <v>22.225000000000001</v>
      </c>
      <c r="W752" t="str">
        <f t="shared" si="24"/>
        <v>0.875" (22.225 mm)</v>
      </c>
    </row>
    <row r="753" spans="18:23">
      <c r="R753">
        <v>775</v>
      </c>
      <c r="S753">
        <v>0.875</v>
      </c>
      <c r="T753">
        <v>0.25</v>
      </c>
      <c r="U753">
        <v>0.375</v>
      </c>
      <c r="V753">
        <f t="shared" si="23"/>
        <v>22.225000000000001</v>
      </c>
      <c r="W753" t="str">
        <f t="shared" si="24"/>
        <v>0.875" (22.225 mm)</v>
      </c>
    </row>
    <row r="754" spans="18:23">
      <c r="R754">
        <v>776</v>
      </c>
      <c r="S754">
        <v>0.875</v>
      </c>
      <c r="T754">
        <v>0.25</v>
      </c>
      <c r="U754">
        <v>0.375</v>
      </c>
      <c r="V754">
        <f t="shared" si="23"/>
        <v>22.225000000000001</v>
      </c>
      <c r="W754" t="str">
        <f t="shared" si="24"/>
        <v>0.875" (22.225 mm)</v>
      </c>
    </row>
    <row r="755" spans="18:23">
      <c r="R755">
        <v>777</v>
      </c>
      <c r="S755">
        <v>0.875</v>
      </c>
      <c r="T755">
        <v>0.25</v>
      </c>
      <c r="U755">
        <v>0.375</v>
      </c>
      <c r="V755">
        <f t="shared" si="23"/>
        <v>22.225000000000001</v>
      </c>
      <c r="W755" t="str">
        <f t="shared" si="24"/>
        <v>0.875" (22.225 mm)</v>
      </c>
    </row>
    <row r="756" spans="18:23">
      <c r="R756">
        <v>778</v>
      </c>
      <c r="S756">
        <v>0.875</v>
      </c>
      <c r="T756">
        <v>0.25</v>
      </c>
      <c r="U756">
        <v>0.375</v>
      </c>
      <c r="V756">
        <f t="shared" si="23"/>
        <v>22.225000000000001</v>
      </c>
      <c r="W756" t="str">
        <f t="shared" si="24"/>
        <v>0.875" (22.225 mm)</v>
      </c>
    </row>
    <row r="757" spans="18:23">
      <c r="R757">
        <v>779</v>
      </c>
      <c r="S757">
        <v>0.875</v>
      </c>
      <c r="T757">
        <v>0.25</v>
      </c>
      <c r="U757">
        <v>0.375</v>
      </c>
      <c r="V757">
        <f t="shared" si="23"/>
        <v>22.225000000000001</v>
      </c>
      <c r="W757" t="str">
        <f t="shared" si="24"/>
        <v>0.875" (22.225 mm)</v>
      </c>
    </row>
    <row r="758" spans="18:23">
      <c r="R758">
        <v>780</v>
      </c>
      <c r="S758">
        <v>0.875</v>
      </c>
      <c r="T758">
        <v>0.25</v>
      </c>
      <c r="U758">
        <v>0.375</v>
      </c>
      <c r="V758">
        <f t="shared" si="23"/>
        <v>22.225000000000001</v>
      </c>
      <c r="W758" t="str">
        <f t="shared" si="24"/>
        <v>0.875" (22.225 mm)</v>
      </c>
    </row>
    <row r="759" spans="18:23">
      <c r="R759">
        <v>781</v>
      </c>
      <c r="S759">
        <v>0.875</v>
      </c>
      <c r="T759">
        <v>0.25</v>
      </c>
      <c r="U759">
        <v>0.375</v>
      </c>
      <c r="V759">
        <f t="shared" si="23"/>
        <v>22.225000000000001</v>
      </c>
      <c r="W759" t="str">
        <f t="shared" si="24"/>
        <v>0.875" (22.225 mm)</v>
      </c>
    </row>
    <row r="760" spans="18:23">
      <c r="R760">
        <v>782</v>
      </c>
      <c r="S760">
        <v>0.875</v>
      </c>
      <c r="T760">
        <v>0.25</v>
      </c>
      <c r="U760">
        <v>0.375</v>
      </c>
      <c r="V760">
        <f t="shared" si="23"/>
        <v>22.225000000000001</v>
      </c>
      <c r="W760" t="str">
        <f t="shared" si="24"/>
        <v>0.875" (22.225 mm)</v>
      </c>
    </row>
    <row r="761" spans="18:23">
      <c r="R761">
        <v>783</v>
      </c>
      <c r="S761">
        <v>0.875</v>
      </c>
      <c r="T761">
        <v>0.25</v>
      </c>
      <c r="U761">
        <v>0.375</v>
      </c>
      <c r="V761">
        <f t="shared" si="23"/>
        <v>22.225000000000001</v>
      </c>
      <c r="W761" t="str">
        <f t="shared" si="24"/>
        <v>0.875" (22.225 mm)</v>
      </c>
    </row>
    <row r="762" spans="18:23">
      <c r="R762">
        <v>784</v>
      </c>
      <c r="S762">
        <v>0.875</v>
      </c>
      <c r="T762">
        <v>0.25</v>
      </c>
      <c r="U762">
        <v>0.375</v>
      </c>
      <c r="V762">
        <f t="shared" si="23"/>
        <v>22.225000000000001</v>
      </c>
      <c r="W762" t="str">
        <f t="shared" si="24"/>
        <v>0.875" (22.225 mm)</v>
      </c>
    </row>
    <row r="763" spans="18:23">
      <c r="R763">
        <v>785</v>
      </c>
      <c r="S763">
        <v>0.875</v>
      </c>
      <c r="T763">
        <v>0.25</v>
      </c>
      <c r="U763">
        <v>0.375</v>
      </c>
      <c r="V763">
        <f t="shared" si="23"/>
        <v>22.225000000000001</v>
      </c>
      <c r="W763" t="str">
        <f t="shared" si="24"/>
        <v>0.875" (22.225 mm)</v>
      </c>
    </row>
    <row r="764" spans="18:23">
      <c r="R764">
        <v>786</v>
      </c>
      <c r="S764">
        <v>0.875</v>
      </c>
      <c r="T764">
        <v>0.25</v>
      </c>
      <c r="U764">
        <v>0.375</v>
      </c>
      <c r="V764">
        <f t="shared" si="23"/>
        <v>22.225000000000001</v>
      </c>
      <c r="W764" t="str">
        <f t="shared" si="24"/>
        <v>0.875" (22.225 mm)</v>
      </c>
    </row>
    <row r="765" spans="18:23">
      <c r="R765">
        <v>787</v>
      </c>
      <c r="S765">
        <v>0.875</v>
      </c>
      <c r="T765">
        <v>0.25</v>
      </c>
      <c r="U765">
        <v>0.375</v>
      </c>
      <c r="V765">
        <f t="shared" si="23"/>
        <v>22.225000000000001</v>
      </c>
      <c r="W765" t="str">
        <f t="shared" si="24"/>
        <v>0.875" (22.225 mm)</v>
      </c>
    </row>
    <row r="766" spans="18:23">
      <c r="R766">
        <v>788</v>
      </c>
      <c r="S766">
        <v>0.875</v>
      </c>
      <c r="T766">
        <v>0.25</v>
      </c>
      <c r="U766">
        <v>0.375</v>
      </c>
      <c r="V766">
        <f t="shared" si="23"/>
        <v>22.225000000000001</v>
      </c>
      <c r="W766" t="str">
        <f t="shared" si="24"/>
        <v>0.875" (22.225 mm)</v>
      </c>
    </row>
    <row r="767" spans="18:23">
      <c r="R767">
        <v>789</v>
      </c>
      <c r="S767">
        <v>0.875</v>
      </c>
      <c r="T767">
        <v>0.25</v>
      </c>
      <c r="U767">
        <v>0.375</v>
      </c>
      <c r="V767">
        <f t="shared" si="23"/>
        <v>22.225000000000001</v>
      </c>
      <c r="W767" t="str">
        <f t="shared" si="24"/>
        <v>0.875" (22.225 mm)</v>
      </c>
    </row>
    <row r="768" spans="18:23">
      <c r="R768">
        <v>790</v>
      </c>
      <c r="S768">
        <v>0.875</v>
      </c>
      <c r="T768">
        <v>0.25</v>
      </c>
      <c r="U768">
        <v>0.375</v>
      </c>
      <c r="V768">
        <f t="shared" si="23"/>
        <v>22.225000000000001</v>
      </c>
      <c r="W768" t="str">
        <f t="shared" si="24"/>
        <v>0.875" (22.225 mm)</v>
      </c>
    </row>
    <row r="769" spans="18:23">
      <c r="R769">
        <v>791</v>
      </c>
      <c r="S769">
        <v>0.875</v>
      </c>
      <c r="T769">
        <v>0.25</v>
      </c>
      <c r="U769">
        <v>0.375</v>
      </c>
      <c r="V769">
        <f t="shared" si="23"/>
        <v>22.225000000000001</v>
      </c>
      <c r="W769" t="str">
        <f t="shared" si="24"/>
        <v>0.875" (22.225 mm)</v>
      </c>
    </row>
    <row r="770" spans="18:23">
      <c r="R770">
        <v>792</v>
      </c>
      <c r="S770">
        <v>0.875</v>
      </c>
      <c r="T770">
        <v>0.25</v>
      </c>
      <c r="U770">
        <v>0.375</v>
      </c>
      <c r="V770">
        <f t="shared" ref="V770:V806" si="25">ROUND(S770*mm, 5)</f>
        <v>22.225000000000001</v>
      </c>
      <c r="W770" t="str">
        <f t="shared" si="24"/>
        <v>0.875" (22.225 mm)</v>
      </c>
    </row>
    <row r="771" spans="18:23">
      <c r="R771">
        <v>793</v>
      </c>
      <c r="S771">
        <v>0.875</v>
      </c>
      <c r="T771">
        <v>0.25</v>
      </c>
      <c r="U771">
        <v>0.375</v>
      </c>
      <c r="V771">
        <f t="shared" si="25"/>
        <v>22.225000000000001</v>
      </c>
      <c r="W771" t="str">
        <f t="shared" ref="W771:W806" si="26">S771&amp;""""&amp;" ("&amp;V771&amp;" mm)"</f>
        <v>0.875" (22.225 mm)</v>
      </c>
    </row>
    <row r="772" spans="18:23">
      <c r="R772">
        <v>794</v>
      </c>
      <c r="S772">
        <v>0.875</v>
      </c>
      <c r="T772">
        <v>0.25</v>
      </c>
      <c r="U772">
        <v>0.375</v>
      </c>
      <c r="V772">
        <f t="shared" si="25"/>
        <v>22.225000000000001</v>
      </c>
      <c r="W772" t="str">
        <f t="shared" si="26"/>
        <v>0.875" (22.225 mm)</v>
      </c>
    </row>
    <row r="773" spans="18:23">
      <c r="R773">
        <v>795</v>
      </c>
      <c r="S773">
        <v>0.875</v>
      </c>
      <c r="T773">
        <v>0.25</v>
      </c>
      <c r="U773">
        <v>0.375</v>
      </c>
      <c r="V773">
        <f t="shared" si="25"/>
        <v>22.225000000000001</v>
      </c>
      <c r="W773" t="str">
        <f t="shared" si="26"/>
        <v>0.875" (22.225 mm)</v>
      </c>
    </row>
    <row r="774" spans="18:23">
      <c r="R774">
        <v>796</v>
      </c>
      <c r="S774">
        <v>0.875</v>
      </c>
      <c r="T774">
        <v>0.25</v>
      </c>
      <c r="U774">
        <v>0.375</v>
      </c>
      <c r="V774">
        <f t="shared" si="25"/>
        <v>22.225000000000001</v>
      </c>
      <c r="W774" t="str">
        <f t="shared" si="26"/>
        <v>0.875" (22.225 mm)</v>
      </c>
    </row>
    <row r="775" spans="18:23">
      <c r="R775">
        <v>797</v>
      </c>
      <c r="S775">
        <v>0.875</v>
      </c>
      <c r="T775">
        <v>0.25</v>
      </c>
      <c r="U775">
        <v>0.375</v>
      </c>
      <c r="V775">
        <f t="shared" si="25"/>
        <v>22.225000000000001</v>
      </c>
      <c r="W775" t="str">
        <f t="shared" si="26"/>
        <v>0.875" (22.225 mm)</v>
      </c>
    </row>
    <row r="776" spans="18:23">
      <c r="R776">
        <v>798</v>
      </c>
      <c r="S776">
        <v>0.875</v>
      </c>
      <c r="T776">
        <v>0.25</v>
      </c>
      <c r="U776">
        <v>0.375</v>
      </c>
      <c r="V776">
        <f t="shared" si="25"/>
        <v>22.225000000000001</v>
      </c>
      <c r="W776" t="str">
        <f t="shared" si="26"/>
        <v>0.875" (22.225 mm)</v>
      </c>
    </row>
    <row r="777" spans="18:23">
      <c r="R777">
        <v>799</v>
      </c>
      <c r="S777">
        <v>0.875</v>
      </c>
      <c r="T777">
        <v>0.25</v>
      </c>
      <c r="U777">
        <v>0.375</v>
      </c>
      <c r="V777">
        <f t="shared" si="25"/>
        <v>22.225000000000001</v>
      </c>
      <c r="W777" t="str">
        <f t="shared" si="26"/>
        <v>0.875" (22.225 mm)</v>
      </c>
    </row>
    <row r="778" spans="18:23">
      <c r="R778">
        <v>800</v>
      </c>
      <c r="S778">
        <v>0.875</v>
      </c>
      <c r="T778">
        <v>0.25</v>
      </c>
      <c r="U778">
        <v>0.375</v>
      </c>
      <c r="V778">
        <f t="shared" si="25"/>
        <v>22.225000000000001</v>
      </c>
      <c r="W778" t="str">
        <f t="shared" si="26"/>
        <v>0.875" (22.225 mm)</v>
      </c>
    </row>
    <row r="779" spans="18:23">
      <c r="R779">
        <v>801</v>
      </c>
      <c r="S779">
        <v>0.875</v>
      </c>
      <c r="T779">
        <v>0.25</v>
      </c>
      <c r="U779">
        <v>0.375</v>
      </c>
      <c r="V779">
        <f t="shared" si="25"/>
        <v>22.225000000000001</v>
      </c>
      <c r="W779" t="str">
        <f t="shared" si="26"/>
        <v>0.875" (22.225 mm)</v>
      </c>
    </row>
    <row r="780" spans="18:23">
      <c r="R780">
        <v>802</v>
      </c>
      <c r="S780">
        <v>0.875</v>
      </c>
      <c r="T780">
        <v>0.25</v>
      </c>
      <c r="U780">
        <v>0.375</v>
      </c>
      <c r="V780">
        <f t="shared" si="25"/>
        <v>22.225000000000001</v>
      </c>
      <c r="W780" t="str">
        <f t="shared" si="26"/>
        <v>0.875" (22.225 mm)</v>
      </c>
    </row>
    <row r="781" spans="18:23">
      <c r="R781">
        <v>803</v>
      </c>
      <c r="S781">
        <v>0.875</v>
      </c>
      <c r="T781">
        <v>0.25</v>
      </c>
      <c r="U781">
        <v>0.375</v>
      </c>
      <c r="V781">
        <f t="shared" si="25"/>
        <v>22.225000000000001</v>
      </c>
      <c r="W781" t="str">
        <f t="shared" si="26"/>
        <v>0.875" (22.225 mm)</v>
      </c>
    </row>
    <row r="782" spans="18:23">
      <c r="R782">
        <v>804</v>
      </c>
      <c r="S782">
        <v>0.875</v>
      </c>
      <c r="T782">
        <v>0.25</v>
      </c>
      <c r="U782">
        <v>0.375</v>
      </c>
      <c r="V782">
        <f t="shared" si="25"/>
        <v>22.225000000000001</v>
      </c>
      <c r="W782" t="str">
        <f t="shared" si="26"/>
        <v>0.875" (22.225 mm)</v>
      </c>
    </row>
    <row r="783" spans="18:23">
      <c r="R783">
        <v>805</v>
      </c>
      <c r="S783">
        <v>0.875</v>
      </c>
      <c r="T783">
        <v>0.25</v>
      </c>
      <c r="U783">
        <v>0.375</v>
      </c>
      <c r="V783">
        <f t="shared" si="25"/>
        <v>22.225000000000001</v>
      </c>
      <c r="W783" t="str">
        <f t="shared" si="26"/>
        <v>0.875" (22.225 mm)</v>
      </c>
    </row>
    <row r="784" spans="18:23">
      <c r="R784">
        <v>806</v>
      </c>
      <c r="S784">
        <v>0.875</v>
      </c>
      <c r="T784">
        <v>0.25</v>
      </c>
      <c r="U784">
        <v>0.375</v>
      </c>
      <c r="V784">
        <f t="shared" si="25"/>
        <v>22.225000000000001</v>
      </c>
      <c r="W784" t="str">
        <f t="shared" si="26"/>
        <v>0.875" (22.225 mm)</v>
      </c>
    </row>
    <row r="785" spans="18:23">
      <c r="R785">
        <v>807</v>
      </c>
      <c r="S785">
        <v>0.875</v>
      </c>
      <c r="T785">
        <v>0.25</v>
      </c>
      <c r="U785">
        <v>0.375</v>
      </c>
      <c r="V785">
        <f t="shared" si="25"/>
        <v>22.225000000000001</v>
      </c>
      <c r="W785" t="str">
        <f t="shared" si="26"/>
        <v>0.875" (22.225 mm)</v>
      </c>
    </row>
    <row r="786" spans="18:23">
      <c r="R786">
        <v>808</v>
      </c>
      <c r="S786">
        <v>0.875</v>
      </c>
      <c r="T786">
        <v>0.25</v>
      </c>
      <c r="U786">
        <v>0.375</v>
      </c>
      <c r="V786">
        <f t="shared" si="25"/>
        <v>22.225000000000001</v>
      </c>
      <c r="W786" t="str">
        <f t="shared" si="26"/>
        <v>0.875" (22.225 mm)</v>
      </c>
    </row>
    <row r="787" spans="18:23">
      <c r="R787">
        <v>809</v>
      </c>
      <c r="S787">
        <v>0.875</v>
      </c>
      <c r="T787">
        <v>0.25</v>
      </c>
      <c r="U787">
        <v>0.375</v>
      </c>
      <c r="V787">
        <f t="shared" si="25"/>
        <v>22.225000000000001</v>
      </c>
      <c r="W787" t="str">
        <f t="shared" si="26"/>
        <v>0.875" (22.225 mm)</v>
      </c>
    </row>
    <row r="788" spans="18:23">
      <c r="R788">
        <v>810</v>
      </c>
      <c r="S788">
        <v>0.875</v>
      </c>
      <c r="T788">
        <v>0.25</v>
      </c>
      <c r="U788">
        <v>0.375</v>
      </c>
      <c r="V788">
        <f t="shared" si="25"/>
        <v>22.225000000000001</v>
      </c>
      <c r="W788" t="str">
        <f t="shared" si="26"/>
        <v>0.875" (22.225 mm)</v>
      </c>
    </row>
    <row r="789" spans="18:23">
      <c r="R789">
        <v>811</v>
      </c>
      <c r="S789">
        <v>0.875</v>
      </c>
      <c r="T789">
        <v>0.25</v>
      </c>
      <c r="U789">
        <v>0.375</v>
      </c>
      <c r="V789">
        <f t="shared" si="25"/>
        <v>22.225000000000001</v>
      </c>
      <c r="W789" t="str">
        <f t="shared" si="26"/>
        <v>0.875" (22.225 mm)</v>
      </c>
    </row>
    <row r="790" spans="18:23">
      <c r="R790">
        <v>812</v>
      </c>
      <c r="S790">
        <v>0.875</v>
      </c>
      <c r="T790">
        <v>0.25</v>
      </c>
      <c r="U790">
        <v>0.375</v>
      </c>
      <c r="V790">
        <f t="shared" si="25"/>
        <v>22.225000000000001</v>
      </c>
      <c r="W790" t="str">
        <f t="shared" si="26"/>
        <v>0.875" (22.225 mm)</v>
      </c>
    </row>
    <row r="791" spans="18:23">
      <c r="R791">
        <v>813</v>
      </c>
      <c r="S791">
        <v>0.875</v>
      </c>
      <c r="T791">
        <v>0.25</v>
      </c>
      <c r="U791">
        <v>0.375</v>
      </c>
      <c r="V791">
        <f t="shared" si="25"/>
        <v>22.225000000000001</v>
      </c>
      <c r="W791" t="str">
        <f t="shared" si="26"/>
        <v>0.875" (22.225 mm)</v>
      </c>
    </row>
    <row r="792" spans="18:23">
      <c r="R792">
        <v>814</v>
      </c>
      <c r="S792">
        <v>0.875</v>
      </c>
      <c r="T792">
        <v>0.25</v>
      </c>
      <c r="U792">
        <v>0.375</v>
      </c>
      <c r="V792">
        <f t="shared" si="25"/>
        <v>22.225000000000001</v>
      </c>
      <c r="W792" t="str">
        <f t="shared" si="26"/>
        <v>0.875" (22.225 mm)</v>
      </c>
    </row>
    <row r="793" spans="18:23">
      <c r="R793">
        <v>815</v>
      </c>
      <c r="S793">
        <v>0.875</v>
      </c>
      <c r="T793">
        <v>0.25</v>
      </c>
      <c r="U793">
        <v>0.375</v>
      </c>
      <c r="V793">
        <f t="shared" si="25"/>
        <v>22.225000000000001</v>
      </c>
      <c r="W793" t="str">
        <f t="shared" si="26"/>
        <v>0.875" (22.225 mm)</v>
      </c>
    </row>
    <row r="794" spans="18:23">
      <c r="R794">
        <v>816</v>
      </c>
      <c r="S794">
        <v>0.875</v>
      </c>
      <c r="T794">
        <v>0.25</v>
      </c>
      <c r="U794">
        <v>0.375</v>
      </c>
      <c r="V794">
        <f t="shared" si="25"/>
        <v>22.225000000000001</v>
      </c>
      <c r="W794" t="str">
        <f t="shared" si="26"/>
        <v>0.875" (22.225 mm)</v>
      </c>
    </row>
    <row r="795" spans="18:23">
      <c r="R795">
        <v>817</v>
      </c>
      <c r="S795">
        <v>0.875</v>
      </c>
      <c r="T795">
        <v>0.25</v>
      </c>
      <c r="U795">
        <v>0.375</v>
      </c>
      <c r="V795">
        <f t="shared" si="25"/>
        <v>22.225000000000001</v>
      </c>
      <c r="W795" t="str">
        <f t="shared" si="26"/>
        <v>0.875" (22.225 mm)</v>
      </c>
    </row>
    <row r="796" spans="18:23">
      <c r="R796">
        <v>818</v>
      </c>
      <c r="S796">
        <v>0.875</v>
      </c>
      <c r="T796">
        <v>0.25</v>
      </c>
      <c r="U796">
        <v>0.375</v>
      </c>
      <c r="V796">
        <f t="shared" si="25"/>
        <v>22.225000000000001</v>
      </c>
      <c r="W796" t="str">
        <f t="shared" si="26"/>
        <v>0.875" (22.225 mm)</v>
      </c>
    </row>
    <row r="797" spans="18:23">
      <c r="R797">
        <v>819</v>
      </c>
      <c r="S797">
        <v>0.875</v>
      </c>
      <c r="T797">
        <v>0.25</v>
      </c>
      <c r="U797">
        <v>0.375</v>
      </c>
      <c r="V797">
        <f t="shared" si="25"/>
        <v>22.225000000000001</v>
      </c>
      <c r="W797" t="str">
        <f t="shared" si="26"/>
        <v>0.875" (22.225 mm)</v>
      </c>
    </row>
    <row r="798" spans="18:23">
      <c r="R798">
        <v>820</v>
      </c>
      <c r="S798">
        <v>0.875</v>
      </c>
      <c r="T798">
        <v>0.25</v>
      </c>
      <c r="U798">
        <v>0.375</v>
      </c>
      <c r="V798">
        <f t="shared" si="25"/>
        <v>22.225000000000001</v>
      </c>
      <c r="W798" t="str">
        <f t="shared" si="26"/>
        <v>0.875" (22.225 mm)</v>
      </c>
    </row>
    <row r="799" spans="18:23">
      <c r="R799">
        <v>821</v>
      </c>
      <c r="S799">
        <v>0.875</v>
      </c>
      <c r="T799">
        <v>0.25</v>
      </c>
      <c r="U799">
        <v>0.375</v>
      </c>
      <c r="V799">
        <f t="shared" si="25"/>
        <v>22.225000000000001</v>
      </c>
      <c r="W799" t="str">
        <f t="shared" si="26"/>
        <v>0.875" (22.225 mm)</v>
      </c>
    </row>
    <row r="800" spans="18:23">
      <c r="R800">
        <v>822</v>
      </c>
      <c r="S800">
        <v>0.875</v>
      </c>
      <c r="T800">
        <v>0.25</v>
      </c>
      <c r="U800">
        <v>0.375</v>
      </c>
      <c r="V800">
        <f t="shared" si="25"/>
        <v>22.225000000000001</v>
      </c>
      <c r="W800" t="str">
        <f t="shared" si="26"/>
        <v>0.875" (22.225 mm)</v>
      </c>
    </row>
    <row r="801" spans="18:23">
      <c r="R801">
        <v>823</v>
      </c>
      <c r="S801">
        <v>0.875</v>
      </c>
      <c r="T801">
        <v>0.25</v>
      </c>
      <c r="U801">
        <v>0.375</v>
      </c>
      <c r="V801">
        <f t="shared" si="25"/>
        <v>22.225000000000001</v>
      </c>
      <c r="W801" t="str">
        <f t="shared" si="26"/>
        <v>0.875" (22.225 mm)</v>
      </c>
    </row>
    <row r="802" spans="18:23">
      <c r="R802">
        <v>824</v>
      </c>
      <c r="S802">
        <v>0.875</v>
      </c>
      <c r="T802">
        <v>0.25</v>
      </c>
      <c r="U802">
        <v>0.375</v>
      </c>
      <c r="V802">
        <f t="shared" si="25"/>
        <v>22.225000000000001</v>
      </c>
      <c r="W802" t="str">
        <f t="shared" si="26"/>
        <v>0.875" (22.225 mm)</v>
      </c>
    </row>
    <row r="803" spans="18:23">
      <c r="R803">
        <v>825</v>
      </c>
      <c r="S803">
        <v>0.875</v>
      </c>
      <c r="T803">
        <v>0.25</v>
      </c>
      <c r="U803">
        <v>0.375</v>
      </c>
      <c r="V803">
        <f t="shared" si="25"/>
        <v>22.225000000000001</v>
      </c>
      <c r="W803" t="str">
        <f t="shared" si="26"/>
        <v>0.875" (22.225 mm)</v>
      </c>
    </row>
    <row r="804" spans="18:23">
      <c r="R804">
        <v>826</v>
      </c>
      <c r="S804">
        <v>0.875</v>
      </c>
      <c r="T804">
        <v>0.25</v>
      </c>
      <c r="U804">
        <v>0.375</v>
      </c>
      <c r="V804">
        <f t="shared" si="25"/>
        <v>22.225000000000001</v>
      </c>
      <c r="W804" t="str">
        <f t="shared" si="26"/>
        <v>0.875" (22.225 mm)</v>
      </c>
    </row>
    <row r="805" spans="18:23">
      <c r="R805">
        <v>827</v>
      </c>
      <c r="S805">
        <v>0.875</v>
      </c>
      <c r="T805">
        <v>0.25</v>
      </c>
      <c r="U805">
        <v>0.375</v>
      </c>
      <c r="V805">
        <f t="shared" si="25"/>
        <v>22.225000000000001</v>
      </c>
      <c r="W805" t="str">
        <f t="shared" si="26"/>
        <v>0.875" (22.225 mm)</v>
      </c>
    </row>
    <row r="806" spans="18:23">
      <c r="R806">
        <v>828</v>
      </c>
      <c r="S806">
        <v>0.875</v>
      </c>
      <c r="T806">
        <v>0.25</v>
      </c>
      <c r="U806">
        <v>0.375</v>
      </c>
      <c r="V806">
        <f t="shared" si="25"/>
        <v>22.225000000000001</v>
      </c>
      <c r="W806" t="str">
        <f t="shared" si="26"/>
        <v>0.875" (22.225 mm)</v>
      </c>
    </row>
  </sheetData>
  <mergeCells count="2">
    <mergeCell ref="B1:D1"/>
    <mergeCell ref="Y1:AL1"/>
  </mergeCells>
  <pageMargins left="0.7" right="0.7" top="0.75" bottom="0.75" header="0.3" footer="0.3"/>
  <pageSetup orientation="portrait" horizontalDpi="1200" verticalDpi="1200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"/>
  <sheetViews>
    <sheetView topLeftCell="C1" workbookViewId="0">
      <selection activeCell="F8" sqref="F8"/>
    </sheetView>
  </sheetViews>
  <sheetFormatPr defaultRowHeight="15"/>
  <cols>
    <col min="1" max="1" width="10" customWidth="1"/>
    <col min="2" max="2" width="9.7109375" bestFit="1" customWidth="1"/>
    <col min="3" max="3" width="38.85546875" customWidth="1"/>
    <col min="4" max="4" width="60.7109375" bestFit="1" customWidth="1"/>
    <col min="5" max="5" width="42.7109375" bestFit="1" customWidth="1"/>
    <col min="6" max="6" width="38.28515625" customWidth="1"/>
  </cols>
  <sheetData>
    <row r="1" spans="1:6">
      <c r="A1" t="s">
        <v>262</v>
      </c>
      <c r="B1" t="s">
        <v>263</v>
      </c>
      <c r="C1" t="s">
        <v>264</v>
      </c>
      <c r="D1" t="s">
        <v>265</v>
      </c>
      <c r="E1" t="s">
        <v>266</v>
      </c>
      <c r="F1" t="s">
        <v>267</v>
      </c>
    </row>
    <row r="2" spans="1:6">
      <c r="A2">
        <v>1</v>
      </c>
      <c r="B2" s="43">
        <v>42398</v>
      </c>
      <c r="C2" t="s">
        <v>268</v>
      </c>
      <c r="D2" t="s">
        <v>269</v>
      </c>
      <c r="E2" t="s">
        <v>270</v>
      </c>
      <c r="F2" s="44" t="s">
        <v>271</v>
      </c>
    </row>
    <row r="3" spans="1:6" ht="45">
      <c r="A3">
        <v>2</v>
      </c>
      <c r="B3" s="43">
        <v>43220</v>
      </c>
      <c r="C3" s="44" t="s">
        <v>272</v>
      </c>
      <c r="D3" s="45" t="s">
        <v>273</v>
      </c>
      <c r="E3" t="s">
        <v>274</v>
      </c>
      <c r="F3" s="44" t="s">
        <v>275</v>
      </c>
    </row>
    <row r="4" spans="1:6" ht="75">
      <c r="A4">
        <v>3</v>
      </c>
      <c r="B4" s="43">
        <v>43220</v>
      </c>
      <c r="C4" s="44" t="s">
        <v>276</v>
      </c>
      <c r="D4" s="45" t="s">
        <v>277</v>
      </c>
      <c r="E4" t="s">
        <v>274</v>
      </c>
      <c r="F4" s="44" t="s">
        <v>275</v>
      </c>
    </row>
    <row r="5" spans="1:6">
      <c r="A5">
        <v>4</v>
      </c>
      <c r="B5" s="43">
        <v>43228</v>
      </c>
      <c r="C5" s="44" t="s">
        <v>278</v>
      </c>
      <c r="D5" t="s">
        <v>279</v>
      </c>
      <c r="E5" t="s">
        <v>280</v>
      </c>
      <c r="F5" s="44" t="s">
        <v>281</v>
      </c>
    </row>
    <row r="6" spans="1:6">
      <c r="A6" s="46">
        <v>5</v>
      </c>
      <c r="B6" s="43">
        <v>43342</v>
      </c>
      <c r="C6" s="44" t="s">
        <v>282</v>
      </c>
      <c r="D6" t="s">
        <v>283</v>
      </c>
      <c r="E6" t="s">
        <v>284</v>
      </c>
      <c r="F6" s="44" t="s">
        <v>285</v>
      </c>
    </row>
    <row r="7" spans="1:6">
      <c r="A7" s="46">
        <v>5</v>
      </c>
      <c r="B7" s="43">
        <v>43342</v>
      </c>
      <c r="C7" s="44" t="s">
        <v>286</v>
      </c>
      <c r="D7" t="s">
        <v>287</v>
      </c>
      <c r="E7" t="s">
        <v>288</v>
      </c>
      <c r="F7" s="44" t="s">
        <v>289</v>
      </c>
    </row>
    <row r="8" spans="1:6">
      <c r="A8">
        <v>6</v>
      </c>
      <c r="B8" s="43">
        <v>43376</v>
      </c>
      <c r="C8" s="44" t="s">
        <v>290</v>
      </c>
      <c r="D8" t="s">
        <v>291</v>
      </c>
      <c r="E8" t="s">
        <v>292</v>
      </c>
      <c r="F8" s="44"/>
    </row>
  </sheetData>
  <hyperlinks>
    <hyperlink ref="F2" r:id="rId1" display="https://portal.ant.amazon.com/sites/techservices/Shared Documents/Submission Spec Calculators/KDP Print_File Setup Calculator.xlsm"/>
    <hyperlink ref="C3" r:id="rId2"/>
    <hyperlink ref="F3" r:id="rId3" display="https://portal.ant.amazon.com/sites/techservices/_layouts/xlviewer.aspx?id=/sites/techservices/Shared%20Documents/Submission%20Spec%20Calculators/KDP%20Print_File%20Setup%20Calculator_V2.xlsm&amp;Source=https%3A%2F%2Fportal%2Eant%2Eamazon%2Ecom%2Fsites%2Ftechservices%2FShared%2520Documents%2FForms%2FAllItems%2Easpx%3FRootFolder%3D%252Fsites%252Ftechservices%252FShared%2520Documents%252FSubmission%2520Spec%2520Calculators%26FolderCTID%3D0x0120004C753D851970C249B4334263EA973AF6%26View%3D%7BDA1C117F%2D6136%2D4517%2D93F2%2D5A85C329A415%7D%26InitialTabId%3DRibbon%252EDocument%26VisibilityContext%3DWSSTabPersistence&amp;DefaultItemOpen=1&amp;DefaultItemOpen=1"/>
    <hyperlink ref="C4" r:id="rId4"/>
    <hyperlink ref="F4" r:id="rId5" display="https://portal.ant.amazon.com/sites/techservices/_layouts/xlviewer.aspx?id=/sites/techservices/Shared%20Documents/Submission%20Spec%20Calculators/KDP%20Print_File%20Setup%20Calculator_V2.xlsm&amp;Source=https%3A%2F%2Fportal%2Eant%2Eamazon%2Ecom%2Fsites%2Ftechservices%2FShared%2520Documents%2FForms%2FAllItems%2Easpx%3FRootFolder%3D%252Fsites%252Ftechservices%252FShared%2520Documents%252FSubmission%2520Spec%2520Calculators%26FolderCTID%3D0x0120004C753D851970C249B4334263EA973AF6%26View%3D%7BDA1C117F%2D6136%2D4517%2D93F2%2D5A85C329A415%7D%26InitialTabId%3DRibbon%252EDocument%26VisibilityContext%3DWSSTabPersistence&amp;DefaultItemOpen=1&amp;DefaultItemOpen=1"/>
    <hyperlink ref="F5" r:id="rId6" display="https://portal.ant.amazon.com/sites/techservices/Shared Documents/Submission Spec Calculators/KDP Print_File Setup Calculator_V3.xlsm"/>
    <hyperlink ref="C5" r:id="rId7"/>
    <hyperlink ref="C7" r:id="rId8"/>
    <hyperlink ref="C6" r:id="rId9"/>
    <hyperlink ref="F6" r:id="rId10" display="https://portal.ant.amazon.com/sites/techservices/Shared Documents/Submission Spec Calculators/KDP_Print_File_Setup_Calculator_V4.xlsm"/>
    <hyperlink ref="F7" r:id="rId11" display="https://maxis-file-service-prod-iad.iad.proxy.amazon.com/issues/7a58785c-733c-4984-afa1-661ee759580b/attachments/b2ad8812eaece3310dff12c8b13913712c24644c473d97e8c6276312366be12d_91a31dff-0efc-4afb-aa23-8e6effb99e25"/>
  </hyperlinks>
  <pageMargins left="0.7" right="0.7" top="0.75" bottom="0.75" header="0.3" footer="0.3"/>
  <tableParts count="1"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78A6EF61D0C74F9ED5381388F6AA46" ma:contentTypeVersion="0" ma:contentTypeDescription="Create a new document." ma:contentTypeScope="" ma:versionID="f503bb25b18c34e66d870a439549d07d">
  <xsd:schema xmlns:xsd="http://www.w3.org/2001/XMLSchema" xmlns:xs="http://www.w3.org/2001/XMLSchema" xmlns:p="http://schemas.microsoft.com/office/2006/metadata/properties" xmlns:ns2="981b7567-dfcb-441a-8821-231457e8b299" targetNamespace="http://schemas.microsoft.com/office/2006/metadata/properties" ma:root="true" ma:fieldsID="c8476d6d71dff5e24abd64c28c1d8e2a" ns2:_="">
    <xsd:import namespace="981b7567-dfcb-441a-8821-231457e8b29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1b7567-dfcb-441a-8821-231457e8b299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981b7567-dfcb-441a-8821-231457e8b299">E4WU5PYAHJ3R-198-105</_dlc_DocId>
    <_dlc_DocIdUrl xmlns="981b7567-dfcb-441a-8821-231457e8b299">
      <Url>https://portal2010.amazon.com/sites/CreateSpace/cs/kdp/_layouts/DocIdRedir.aspx?ID=E4WU5PYAHJ3R-198-105</Url>
      <Description>E4WU5PYAHJ3R-198-105</Description>
    </_dlc_DocIdUrl>
  </documentManagement>
</p:properties>
</file>

<file path=customXml/itemProps1.xml><?xml version="1.0" encoding="utf-8"?>
<ds:datastoreItem xmlns:ds="http://schemas.openxmlformats.org/officeDocument/2006/customXml" ds:itemID="{F1A1D6E8-B8BB-4715-B509-5F68F360F0E5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F3287549-EA79-4DF3-93FF-E5C29486EC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1b7567-dfcb-441a-8821-231457e8b2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F35BF6A-AA0F-4FAE-8080-2587FB1B0C9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F675AF4-11EC-40C0-9DC5-2BDD6F96EBA0}">
  <ds:schemaRefs>
    <ds:schemaRef ds:uri="http://purl.org/dc/terms/"/>
    <ds:schemaRef ds:uri="http://schemas.openxmlformats.org/package/2006/metadata/core-properties"/>
    <ds:schemaRef ds:uri="981b7567-dfcb-441a-8821-231457e8b299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82</vt:i4>
      </vt:variant>
    </vt:vector>
  </HeadingPairs>
  <TitlesOfParts>
    <vt:vector size="89" baseType="lpstr">
      <vt:lpstr>Main</vt:lpstr>
      <vt:lpstr>Interior-Bleed</vt:lpstr>
      <vt:lpstr>Interior-NoBleed</vt:lpstr>
      <vt:lpstr>Cover-LTR</vt:lpstr>
      <vt:lpstr>Cover-RTL</vt:lpstr>
      <vt:lpstr>Lists</vt:lpstr>
      <vt:lpstr>Change_Log</vt:lpstr>
      <vt:lpstr>blcmh</vt:lpstr>
      <vt:lpstr>blcmw</vt:lpstr>
      <vt:lpstr>CBleedBcm</vt:lpstr>
      <vt:lpstr>CBleedBIn</vt:lpstr>
      <vt:lpstr>CBleedBmm</vt:lpstr>
      <vt:lpstr>CBleedLcm</vt:lpstr>
      <vt:lpstr>CBleedLin</vt:lpstr>
      <vt:lpstr>CBleedLmm</vt:lpstr>
      <vt:lpstr>CBleedRcm</vt:lpstr>
      <vt:lpstr>CBleedRIn</vt:lpstr>
      <vt:lpstr>CBleedRmm</vt:lpstr>
      <vt:lpstr>CBleedTcm</vt:lpstr>
      <vt:lpstr>CBleedTIn</vt:lpstr>
      <vt:lpstr>CBleedTmm</vt:lpstr>
      <vt:lpstr>cm</vt:lpstr>
      <vt:lpstr>cMarginSLcm</vt:lpstr>
      <vt:lpstr>cMarginSLIn</vt:lpstr>
      <vt:lpstr>cMarginSLmm</vt:lpstr>
      <vt:lpstr>cMarginSRcm</vt:lpstr>
      <vt:lpstr>cMarginSRIn</vt:lpstr>
      <vt:lpstr>cMarginSRmm</vt:lpstr>
      <vt:lpstr>CoverHeight</vt:lpstr>
      <vt:lpstr>CoverLTR</vt:lpstr>
      <vt:lpstr>CoverSafeZoneCM</vt:lpstr>
      <vt:lpstr>CoverSafeZoneH</vt:lpstr>
      <vt:lpstr>CoverSafeZoneIn</vt:lpstr>
      <vt:lpstr>CoverSafeZoneW</vt:lpstr>
      <vt:lpstr>CoverSizeCm</vt:lpstr>
      <vt:lpstr>CoverSizeIn</vt:lpstr>
      <vt:lpstr>CoverStatement</vt:lpstr>
      <vt:lpstr>CoverWidth</vt:lpstr>
      <vt:lpstr>GutterCMmath</vt:lpstr>
      <vt:lpstr>GutterFull</vt:lpstr>
      <vt:lpstr>GutterIN</vt:lpstr>
      <vt:lpstr>GutterINmath</vt:lpstr>
      <vt:lpstr>GutterMM</vt:lpstr>
      <vt:lpstr>InkPaperChoice</vt:lpstr>
      <vt:lpstr>InkPaperMax</vt:lpstr>
      <vt:lpstr>InteriorBleed</vt:lpstr>
      <vt:lpstr>InteriorBleedStatement</vt:lpstr>
      <vt:lpstr>InteriorNoBleed</vt:lpstr>
      <vt:lpstr>InteriorNoBleedStatement</vt:lpstr>
      <vt:lpstr>List_InkPaper</vt:lpstr>
      <vt:lpstr>List_TrimSize</vt:lpstr>
      <vt:lpstr>MainMenu</vt:lpstr>
      <vt:lpstr>MarginOcmMath</vt:lpstr>
      <vt:lpstr>MarginOinMath</vt:lpstr>
      <vt:lpstr>Max_Page_Count</vt:lpstr>
      <vt:lpstr>mm</vt:lpstr>
      <vt:lpstr>MSafeZoneCM</vt:lpstr>
      <vt:lpstr>MSafeZoneH</vt:lpstr>
      <vt:lpstr>MSafeZoneIN</vt:lpstr>
      <vt:lpstr>MSafeZoneW</vt:lpstr>
      <vt:lpstr>MTrimBCM</vt:lpstr>
      <vt:lpstr>MTrimBH</vt:lpstr>
      <vt:lpstr>MTrimBIN</vt:lpstr>
      <vt:lpstr>MTrimBW</vt:lpstr>
      <vt:lpstr>MTrimCM</vt:lpstr>
      <vt:lpstr>MTrimH</vt:lpstr>
      <vt:lpstr>MTrimIN</vt:lpstr>
      <vt:lpstr>MTrimW</vt:lpstr>
      <vt:lpstr>PageCountChoice</vt:lpstr>
      <vt:lpstr>PPI__cm</vt:lpstr>
      <vt:lpstr>PPI__mm</vt:lpstr>
      <vt:lpstr>PPI_In</vt:lpstr>
      <vt:lpstr>Main!Print_Area</vt:lpstr>
      <vt:lpstr>Rng_IndexPgMax</vt:lpstr>
      <vt:lpstr>SpineTextCM</vt:lpstr>
      <vt:lpstr>SpineTextCMmath</vt:lpstr>
      <vt:lpstr>SpineTextIN</vt:lpstr>
      <vt:lpstr>SpineTextInMath</vt:lpstr>
      <vt:lpstr>SpineTextMM</vt:lpstr>
      <vt:lpstr>SpineTextMMmath</vt:lpstr>
      <vt:lpstr>SpineTextSize</vt:lpstr>
      <vt:lpstr>SpineWidthCM</vt:lpstr>
      <vt:lpstr>SpineWidthCmMath</vt:lpstr>
      <vt:lpstr>SpineWidthIn</vt:lpstr>
      <vt:lpstr>SpineWidthInMath</vt:lpstr>
      <vt:lpstr>SpineWidthMM</vt:lpstr>
      <vt:lpstr>SpineWidthMMmath</vt:lpstr>
      <vt:lpstr>SpineWidthSize</vt:lpstr>
      <vt:lpstr>TrimSizeChoice</vt:lpstr>
    </vt:vector>
  </TitlesOfParts>
  <Company>Amazon.com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Reference</dc:creator>
  <cp:lastModifiedBy>Magnusson, Nathan</cp:lastModifiedBy>
  <dcterms:created xsi:type="dcterms:W3CDTF">2015-11-05T23:27:50Z</dcterms:created>
  <dcterms:modified xsi:type="dcterms:W3CDTF">2018-10-03T20:30:30Z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0x010100C478A6EF61D0C74F9ED5381388F6AA46</vt:lpwstr>
  </property>
  <property fmtid="{D5CDD505-2E9C-101B-9397-08002B2CF9AE}" pid="3" name="_dlc_DocIdItemGuid">
    <vt:lpwstr>dd0f1ed4-4edf-4c99-986c-3d6a487c0d96</vt:lpwstr>
  </property>
</Properties>
</file>